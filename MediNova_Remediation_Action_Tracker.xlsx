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c3cac23f0b44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mediation Tracker" sheetId="1" r:id="Re50c0c2357e54e0f"/>
    <x:sheet xmlns:r="http://schemas.openxmlformats.org/officeDocument/2006/relationships" name="Dashboard" sheetId="2" r:id="R61f4f4a754034210"/>
    <x:sheet xmlns:r="http://schemas.openxmlformats.org/officeDocument/2006/relationships" name="Instructions" sheetId="3" r:id="R52e962dcdf4244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 mmm yyyy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83C56"/>
      </x:patternFill>
    </x:fill>
    <x:fill>
      <x:patternFill patternType="solid">
        <x:fgColor rgb="FF25627B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</x:cellXfs>
  <x:cellStyles count="1">
    <x:cellStyle name="Normal" xfId="0"/>
  </x:cellStyles>
  <x:dxfs count="3"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6501728ea84352" /><Relationship Type="http://schemas.openxmlformats.org/officeDocument/2006/relationships/theme" Target="/xl/theme/theme1.xml" Id="R09a9b3e610504c83" /><Relationship Type="http://schemas.openxmlformats.org/officeDocument/2006/relationships/sharedStrings" Target="/xl/sharedStrings.xml" Id="R0108897929c546b2" /><Relationship Type="http://schemas.openxmlformats.org/officeDocument/2006/relationships/worksheet" Target="/xl/worksheets/sheet1.xml" Id="Re50c0c2357e54e0f" /><Relationship Type="http://schemas.openxmlformats.org/officeDocument/2006/relationships/worksheet" Target="/xl/worksheets/sheet2.xml" Id="R61f4f4a754034210" /><Relationship Type="http://schemas.openxmlformats.org/officeDocument/2006/relationships/worksheet" Target="/xl/worksheets/sheet3.xml" Id="R52e962dcdf4244f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35" hidden="0" customWidth="1"/>
    <x:col min="3" max="3" width="20" hidden="0" customWidth="1"/>
    <x:col min="4" max="4" width="13" hidden="0" customWidth="1"/>
    <x:col min="5" max="5" width="56" hidden="0" customWidth="1"/>
    <x:col min="6" max="6" width="25" hidden="0" customWidth="1"/>
    <x:col min="7" max="7" width="18" hidden="0" customWidth="1"/>
    <x:col min="8" max="8" width="23" hidden="0" customWidth="1"/>
    <x:col min="9" max="9" width="57" hidden="0" customWidth="1"/>
    <x:col min="10" max="10" width="35" hidden="0" customWidth="1"/>
    <x:col min="11" max="11" width="22" hidden="0" customWidth="1"/>
    <x:col min="12" max="12" width="24" hidden="0" customWidth="1"/>
    <x:col min="13" max="13" width="18" hidden="0" customWidth="1"/>
    <x:col min="14" max="14" width="48" hidden="0" customWidth="1"/>
  </x:cols>
  <x:sheetData>
    <x:row r="1" ht="42" customHeight="1">
      <x:c r="A1" s="5" t="str">
        <x:v>Finding ID</x:v>
      </x:c>
      <x:c r="B1" s="5" t="str">
        <x:v>Finding / Control Gap</x:v>
      </x:c>
      <x:c r="C1" s="5" t="str">
        <x:v>ISO 27001:2022</x:v>
      </x:c>
      <x:c r="D1" s="5" t="str">
        <x:v>Priority</x:v>
      </x:c>
      <x:c r="E1" s="5" t="str">
        <x:v>Corrective Action</x:v>
      </x:c>
      <x:c r="F1" s="5" t="str">
        <x:v>Action Owner</x:v>
      </x:c>
      <x:c r="G1" s="5" t="str">
        <x:v>Target Date</x:v>
      </x:c>
      <x:c r="H1" s="5" t="str">
        <x:v>Status</x:v>
      </x:c>
      <x:c r="I1" s="5" t="str">
        <x:v>Evidence Required</x:v>
      </x:c>
      <x:c r="J1" s="5" t="str">
        <x:v>Evidence Received / Link</x:v>
      </x:c>
      <x:c r="K1" s="5" t="str">
        <x:v>Verification Result</x:v>
      </x:c>
      <x:c r="L1" s="5" t="str">
        <x:v>Closure Approved By</x:v>
      </x:c>
      <x:c r="M1" s="5" t="str">
        <x:v>Closed Date</x:v>
      </x:c>
      <x:c r="N1" s="5" t="str">
        <x:v>Notes</x:v>
      </x:c>
    </x:row>
    <x:row r="2" ht="75" customHeight="1">
      <x:c r="A2" s="10" t="str">
        <x:v>GAP-001</x:v>
      </x:c>
      <x:c r="B2" s="10" t="str">
        <x:v>Former employee account remains active</x:v>
      </x:c>
      <x:c r="C2" s="10" t="str">
        <x:v>A.5.16; A.5.18</x:v>
      </x:c>
      <x:c r="D2" s="10" t="str">
        <x:v>High</x:v>
      </x:c>
      <x:c r="E2" s="10" t="str">
        <x:v>Investigate former employee access; disable accounts as appropriate; improve and test offboarding process</x:v>
      </x:c>
      <x:c r="F2" s="10" t="str">
        <x:v>IT Operations Manager</x:v>
      </x:c>
      <x:c r="G2" s="12" t="n">
        <x:v>46332</x:v>
      </x:c>
      <x:c r="H2" s="10" t="str">
        <x:v>Open</x:v>
      </x:c>
      <x:c r="I2" s="10" t="str">
        <x:v>HR leavers list; account status export; disablement logs; offboarding tickets</x:v>
      </x:c>
      <x:c r="J2" s="10" t="str"/>
      <x:c r="K2" s="10" t="str">
        <x:v>Not Verified</x:v>
      </x:c>
      <x:c r="L2" s="10" t="str"/>
      <x:c r="M2" s="12"/>
      <x:c r="N2" s="10" t="str">
        <x:v>Simulated scenario; no actual account review performed</x:v>
      </x:c>
    </x:row>
    <x:row r="3" ht="75" customHeight="1">
      <x:c r="A3" s="10" t="str">
        <x:v>GAP-002</x:v>
      </x:c>
      <x:c r="B3" s="10" t="str">
        <x:v>Incomplete MFA enforcement for privileged accounts</x:v>
      </x:c>
      <x:c r="C3" s="10" t="str">
        <x:v>A.8.5</x:v>
      </x:c>
      <x:c r="D3" s="10" t="str">
        <x:v>High</x:v>
      </x:c>
      <x:c r="E3" s="10" t="str">
        <x:v>Enforce MFA for all applicable administrator accounts; review exceptions and test authentication</x:v>
      </x:c>
      <x:c r="F3" s="10" t="str">
        <x:v>IT Security Manager</x:v>
      </x:c>
      <x:c r="G3" s="12" t="n">
        <x:v>46325</x:v>
      </x:c>
      <x:c r="H3" s="10" t="str">
        <x:v>Open</x:v>
      </x:c>
      <x:c r="I3" s="10" t="str">
        <x:v>Privileged account inventory; MFA policy export; sign-in test logs; exception approvals</x:v>
      </x:c>
      <x:c r="J3" s="10" t="str"/>
      <x:c r="K3" s="10" t="str">
        <x:v>Not Verified</x:v>
      </x:c>
      <x:c r="L3" s="10" t="str"/>
      <x:c r="M3" s="12"/>
      <x:c r="N3" s="10" t="str">
        <x:v>3 of 20 privileged accounts excluded in fictional scenario</x:v>
      </x:c>
    </x:row>
    <x:row r="4" ht="75" customHeight="1">
      <x:c r="A4" s="10" t="str">
        <x:v>GAP-003</x:v>
      </x:c>
      <x:c r="B4" s="10" t="str">
        <x:v>Backup restoration testing not performed</x:v>
      </x:c>
      <x:c r="C4" s="10" t="str">
        <x:v>A.8.13</x:v>
      </x:c>
      <x:c r="D4" s="10" t="str">
        <x:v>High</x:v>
      </x:c>
      <x:c r="E4" s="10" t="str">
        <x:v>Perform documented restore test; resolve failures; schedule regular recovery exercises</x:v>
      </x:c>
      <x:c r="F4" s="10" t="str">
        <x:v>Infrastructure &amp; Backup Lead</x:v>
      </x:c>
      <x:c r="G4" s="12" t="n">
        <x:v>46346</x:v>
      </x:c>
      <x:c r="H4" s="10" t="str">
        <x:v>Open</x:v>
      </x:c>
      <x:c r="I4" s="10" t="str">
        <x:v>Backup policy; execution logs; restore test results; recovery exercise records</x:v>
      </x:c>
      <x:c r="J4" s="10" t="str"/>
      <x:c r="K4" s="10" t="str">
        <x:v>Not Verified</x:v>
      </x:c>
      <x:c r="L4" s="10" t="str"/>
      <x:c r="M4" s="12"/>
      <x:c r="N4" s="10" t="str">
        <x:v>Daily backups reported; restore capability unverified</x:v>
      </x:c>
    </x:row>
    <x:row r="5">
      <x:c r="G5" s="13"/>
      <x:c r="M5" s="13"/>
    </x:row>
    <x:row r="6">
      <x:c r="G6" s="13"/>
      <x:c r="M6" s="13"/>
    </x:row>
    <x:row r="7">
      <x:c r="G7" s="13"/>
      <x:c r="M7" s="13"/>
    </x:row>
    <x:row r="8">
      <x:c r="G8" s="13"/>
      <x:c r="M8" s="13"/>
    </x:row>
    <x:row r="9">
      <x:c r="G9" s="13"/>
      <x:c r="M9" s="13"/>
    </x:row>
    <x:row r="10">
      <x:c r="G10" s="13"/>
      <x:c r="M10" s="13"/>
    </x:row>
    <x:row r="11">
      <x:c r="G11" s="13"/>
      <x:c r="M11" s="13"/>
    </x:row>
    <x:row r="12">
      <x:c r="G12" s="13"/>
      <x:c r="M12" s="13"/>
    </x:row>
    <x:row r="13">
      <x:c r="G13" s="13"/>
      <x:c r="M13" s="13"/>
    </x:row>
    <x:row r="14">
      <x:c r="G14" s="13"/>
      <x:c r="M14" s="13"/>
    </x:row>
    <x:row r="15">
      <x:c r="G15" s="13"/>
      <x:c r="M15" s="13"/>
    </x:row>
    <x:row r="16">
      <x:c r="G16" s="13"/>
      <x:c r="M16" s="13"/>
    </x:row>
    <x:row r="17">
      <x:c r="G17" s="13"/>
      <x:c r="M17" s="13"/>
    </x:row>
    <x:row r="18">
      <x:c r="G18" s="13"/>
      <x:c r="M18" s="13"/>
    </x:row>
    <x:row r="19">
      <x:c r="G19" s="13"/>
      <x:c r="M19" s="13"/>
    </x:row>
    <x:row r="20">
      <x:c r="G20" s="13"/>
      <x:c r="M20" s="13"/>
    </x:row>
    <x:row r="21">
      <x:c r="G21" s="13"/>
      <x:c r="M21" s="13"/>
    </x:row>
    <x:row r="22">
      <x:c r="G22" s="13"/>
      <x:c r="M22" s="13"/>
    </x:row>
    <x:row r="23">
      <x:c r="G23" s="13"/>
      <x:c r="M23" s="13"/>
    </x:row>
    <x:row r="24">
      <x:c r="G24" s="13"/>
      <x:c r="M24" s="13"/>
    </x:row>
    <x:row r="25">
      <x:c r="G25" s="13"/>
      <x:c r="M25" s="13"/>
    </x:row>
    <x:row r="26">
      <x:c r="G26" s="13"/>
      <x:c r="M26" s="13"/>
    </x:row>
    <x:row r="27">
      <x:c r="G27" s="13"/>
      <x:c r="M27" s="13"/>
    </x:row>
    <x:row r="28">
      <x:c r="G28" s="13"/>
      <x:c r="M28" s="13"/>
    </x:row>
    <x:row r="29">
      <x:c r="G29" s="13"/>
      <x:c r="M29" s="13"/>
    </x:row>
    <x:row r="30">
      <x:c r="G30" s="13"/>
      <x:c r="M30" s="13"/>
    </x:row>
    <x:row r="31">
      <x:c r="G31" s="13"/>
      <x:c r="M31" s="13"/>
    </x:row>
    <x:row r="32">
      <x:c r="G32" s="13"/>
      <x:c r="M32" s="13"/>
    </x:row>
    <x:row r="33">
      <x:c r="G33" s="13"/>
      <x:c r="M33" s="13"/>
    </x:row>
    <x:row r="34">
      <x:c r="G34" s="13"/>
      <x:c r="M34" s="13"/>
    </x:row>
    <x:row r="35">
      <x:c r="G35" s="13"/>
      <x:c r="M35" s="13"/>
    </x:row>
    <x:row r="36">
      <x:c r="G36" s="13"/>
      <x:c r="M36" s="13"/>
    </x:row>
    <x:row r="37">
      <x:c r="G37" s="13"/>
      <x:c r="M37" s="13"/>
    </x:row>
    <x:row r="38">
      <x:c r="G38" s="13"/>
      <x:c r="M38" s="13"/>
    </x:row>
    <x:row r="39">
      <x:c r="G39" s="13"/>
      <x:c r="M39" s="13"/>
    </x:row>
    <x:row r="40">
      <x:c r="G40" s="13"/>
      <x:c r="M40" s="13"/>
    </x:row>
    <x:row r="41">
      <x:c r="G41" s="13"/>
      <x:c r="M41" s="13"/>
    </x:row>
    <x:row r="42">
      <x:c r="G42" s="13"/>
      <x:c r="M42" s="13"/>
    </x:row>
    <x:row r="43">
      <x:c r="G43" s="13"/>
      <x:c r="M43" s="13"/>
    </x:row>
    <x:row r="44">
      <x:c r="G44" s="13"/>
      <x:c r="M44" s="13"/>
    </x:row>
    <x:row r="45">
      <x:c r="G45" s="13"/>
      <x:c r="M45" s="13"/>
    </x:row>
    <x:row r="46">
      <x:c r="G46" s="13"/>
      <x:c r="M46" s="13"/>
    </x:row>
    <x:row r="47">
      <x:c r="G47" s="13"/>
      <x:c r="M47" s="13"/>
    </x:row>
    <x:row r="48">
      <x:c r="G48" s="13"/>
      <x:c r="M48" s="13"/>
    </x:row>
    <x:row r="49">
      <x:c r="G49" s="13"/>
      <x:c r="M49" s="13"/>
    </x:row>
    <x:row r="50">
      <x:c r="G50" s="13"/>
      <x:c r="M50" s="13"/>
    </x:row>
    <x:row r="51">
      <x:c r="G51" s="13"/>
      <x:c r="M51" s="13"/>
    </x:row>
    <x:row r="52">
      <x:c r="G52" s="13"/>
      <x:c r="M52" s="13"/>
    </x:row>
    <x:row r="53">
      <x:c r="G53" s="13"/>
      <x:c r="M53" s="13"/>
    </x:row>
    <x:row r="54">
      <x:c r="G54" s="13"/>
      <x:c r="M54" s="13"/>
    </x:row>
    <x:row r="55">
      <x:c r="G55" s="13"/>
      <x:c r="M55" s="13"/>
    </x:row>
    <x:row r="56">
      <x:c r="G56" s="13"/>
      <x:c r="M56" s="13"/>
    </x:row>
    <x:row r="57">
      <x:c r="G57" s="13"/>
      <x:c r="M57" s="13"/>
    </x:row>
    <x:row r="58">
      <x:c r="G58" s="13"/>
      <x:c r="M58" s="13"/>
    </x:row>
    <x:row r="59">
      <x:c r="G59" s="13"/>
      <x:c r="M59" s="13"/>
    </x:row>
    <x:row r="60">
      <x:c r="G60" s="13"/>
      <x:c r="M60" s="13"/>
    </x:row>
    <x:row r="61">
      <x:c r="G61" s="13"/>
      <x:c r="M61" s="13"/>
    </x:row>
    <x:row r="62">
      <x:c r="G62" s="13"/>
      <x:c r="M62" s="13"/>
    </x:row>
    <x:row r="63">
      <x:c r="G63" s="13"/>
      <x:c r="M63" s="13"/>
    </x:row>
    <x:row r="64">
      <x:c r="G64" s="13"/>
      <x:c r="M64" s="13"/>
    </x:row>
    <x:row r="65">
      <x:c r="G65" s="13"/>
      <x:c r="M65" s="13"/>
    </x:row>
    <x:row r="66">
      <x:c r="G66" s="13"/>
      <x:c r="M66" s="13"/>
    </x:row>
    <x:row r="67">
      <x:c r="G67" s="13"/>
      <x:c r="M67" s="13"/>
    </x:row>
    <x:row r="68">
      <x:c r="G68" s="13"/>
      <x:c r="M68" s="13"/>
    </x:row>
    <x:row r="69">
      <x:c r="G69" s="13"/>
      <x:c r="M69" s="13"/>
    </x:row>
    <x:row r="70">
      <x:c r="G70" s="13"/>
      <x:c r="M70" s="13"/>
    </x:row>
    <x:row r="71">
      <x:c r="G71" s="13"/>
      <x:c r="M71" s="13"/>
    </x:row>
    <x:row r="72">
      <x:c r="G72" s="13"/>
      <x:c r="M72" s="13"/>
    </x:row>
    <x:row r="73">
      <x:c r="G73" s="13"/>
      <x:c r="M73" s="13"/>
    </x:row>
    <x:row r="74">
      <x:c r="G74" s="13"/>
      <x:c r="M74" s="13"/>
    </x:row>
    <x:row r="75">
      <x:c r="G75" s="13"/>
      <x:c r="M75" s="13"/>
    </x:row>
    <x:row r="76">
      <x:c r="G76" s="13"/>
      <x:c r="M76" s="13"/>
    </x:row>
    <x:row r="77">
      <x:c r="G77" s="13"/>
      <x:c r="M77" s="13"/>
    </x:row>
    <x:row r="78">
      <x:c r="G78" s="13"/>
      <x:c r="M78" s="13"/>
    </x:row>
    <x:row r="79">
      <x:c r="G79" s="13"/>
      <x:c r="M79" s="13"/>
    </x:row>
    <x:row r="80">
      <x:c r="G80" s="13"/>
      <x:c r="M80" s="13"/>
    </x:row>
    <x:row r="81">
      <x:c r="G81" s="13"/>
      <x:c r="M81" s="13"/>
    </x:row>
    <x:row r="82">
      <x:c r="G82" s="13"/>
      <x:c r="M82" s="13"/>
    </x:row>
    <x:row r="83">
      <x:c r="G83" s="13"/>
      <x:c r="M83" s="13"/>
    </x:row>
    <x:row r="84">
      <x:c r="G84" s="13"/>
      <x:c r="M84" s="13"/>
    </x:row>
    <x:row r="85">
      <x:c r="G85" s="13"/>
      <x:c r="M85" s="13"/>
    </x:row>
    <x:row r="86">
      <x:c r="G86" s="13"/>
      <x:c r="M86" s="13"/>
    </x:row>
    <x:row r="87">
      <x:c r="G87" s="13"/>
      <x:c r="M87" s="13"/>
    </x:row>
    <x:row r="88">
      <x:c r="G88" s="13"/>
      <x:c r="M88" s="13"/>
    </x:row>
    <x:row r="89">
      <x:c r="G89" s="13"/>
      <x:c r="M89" s="13"/>
    </x:row>
    <x:row r="90">
      <x:c r="G90" s="13"/>
      <x:c r="M90" s="13"/>
    </x:row>
    <x:row r="91">
      <x:c r="G91" s="13"/>
      <x:c r="M91" s="13"/>
    </x:row>
    <x:row r="92">
      <x:c r="G92" s="13"/>
      <x:c r="M92" s="13"/>
    </x:row>
    <x:row r="93">
      <x:c r="G93" s="13"/>
      <x:c r="M93" s="13"/>
    </x:row>
    <x:row r="94">
      <x:c r="G94" s="13"/>
      <x:c r="M94" s="13"/>
    </x:row>
    <x:row r="95">
      <x:c r="G95" s="13"/>
      <x:c r="M95" s="13"/>
    </x:row>
    <x:row r="96">
      <x:c r="G96" s="13"/>
      <x:c r="M96" s="13"/>
    </x:row>
    <x:row r="97">
      <x:c r="G97" s="13"/>
      <x:c r="M97" s="13"/>
    </x:row>
    <x:row r="98">
      <x:c r="G98" s="13"/>
      <x:c r="M98" s="13"/>
    </x:row>
    <x:row r="99">
      <x:c r="G99" s="13"/>
      <x:c r="M99" s="13"/>
    </x:row>
    <x:row r="100">
      <x:c r="G100" s="13"/>
      <x:c r="M100" s="13"/>
    </x:row>
  </x:sheetData>
  <x:conditionalFormatting sqref="H2:H100">
    <x:cfRule type="expression" dxfId="0" priority="1">
      <x:formula>$H2="Closed"</x:formula>
    </x:cfRule>
    <x:cfRule type="expression" dxfId="1" priority="2">
      <x:formula>$H2="Pending Verification"</x:formula>
    </x:cfRule>
    <x:cfRule type="expression" dxfId="2" priority="3">
      <x:formula>$H2="Open"</x:formula>
    </x:cfRule>
  </x:conditionalFormatting>
  <x:dataValidations count="3">
    <x:dataValidation type="list" sqref="H2:H100">
      <x:formula1>"Open,In Progress,Pending Verification,Closed,Risk Accepted"</x:formula1>
    </x:dataValidation>
    <x:dataValidation type="list" sqref="D2:D100">
      <x:formula1>"Critical,High,Medium,Low"</x:formula1>
    </x:dataValidation>
    <x:dataValidation type="list" sqref="K2:K100">
      <x:formula1>"Not Verified,Passed,Failed,Not Applicable"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</x:cols>
  <x:sheetData>
    <x:row r="1" ht="42" customHeight="1">
      <x:c r="A1" s="16" t="str">
        <x:v>MediNova | Remediation Overview</x:v>
      </x:c>
      <x:c r="B1" s="16"/>
      <x:c r="C1" s="16"/>
      <x:c r="D1" s="16"/>
      <x:c r="E1" s="16"/>
      <x:c r="F1" s="16"/>
    </x:row>
    <x:row r="3">
      <x:c r="A3" s="19" t="str">
        <x:v>Metric</x:v>
      </x:c>
      <x:c r="B3" s="19" t="str">
        <x:v>Count</x:v>
      </x:c>
    </x:row>
    <x:row r="4">
      <x:c r="A4" t="str">
        <x:v>Total findings</x:v>
      </x:c>
      <x:c r="B4" t="n">
        <x:f>COUNTA('Remediation Tracker'!A2:A100)</x:f>
        <x:v>3</x:v>
      </x:c>
    </x:row>
    <x:row r="5">
      <x:c r="A5" t="str">
        <x:v>Open</x:v>
      </x:c>
      <x:c r="B5" t="n">
        <x:f>COUNTIF('Remediation Tracker'!H2:H100,"Open")</x:f>
        <x:v>3</x:v>
      </x:c>
    </x:row>
    <x:row r="6">
      <x:c r="A6" t="str">
        <x:v>In Progress</x:v>
      </x:c>
      <x:c r="B6" t="n">
        <x:f>COUNTIF('Remediation Tracker'!H2:H100,"In Progress")</x:f>
        <x:v>0</x:v>
      </x:c>
    </x:row>
    <x:row r="7">
      <x:c r="A7" t="str">
        <x:v>Pending Verification</x:v>
      </x:c>
      <x:c r="B7" t="n">
        <x:f>COUNTIF('Remediation Tracker'!H2:H100,"Pending Verification")</x:f>
        <x:v>0</x:v>
      </x:c>
    </x:row>
    <x:row r="8">
      <x:c r="A8" t="str">
        <x:v>Closed</x:v>
      </x:c>
      <x:c r="B8" t="n">
        <x:f>COUNTIF('Remediation Tracker'!H2:H100,"Closed")</x:f>
        <x:v>0</x:v>
      </x:c>
    </x:row>
    <x:row r="10" ht="45" customHeight="1">
      <x:c r="A10" s="10" t="str">
        <x:v>Training workbook: fictional findings, owners, dates and evidence. No remediation has been verified.</x:v>
      </x:c>
      <x:c r="B10" s="10"/>
      <x:c r="C10" s="10"/>
      <x:c r="D10" s="10"/>
      <x:c r="E10" s="10"/>
      <x:c r="F10" s="10"/>
    </x:row>
  </x:sheetData>
  <x:mergeCells>
    <x:mergeCell ref="A1:F1"/>
    <x:mergeCell ref="A10:F1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95" hidden="0" customWidth="1"/>
  </x:cols>
  <x:sheetData>
    <x:row r="1" ht="30" customHeight="1">
      <x:c r="A1" s="3" t="str">
        <x:v>Field / workflow</x:v>
      </x:c>
      <x:c r="B1" s="3" t="str">
        <x:v>How to use</x:v>
      </x:c>
    </x:row>
    <x:row r="2" ht="39" customHeight="1">
      <x:c r="A2" s="10" t="str">
        <x:v>Purpose</x:v>
      </x:c>
      <x:c r="B2" s="10" t="str">
        <x:v>Track corrective actions against the three simulated findings in the GitHub gap assessment.</x:v>
      </x:c>
    </x:row>
    <x:row r="3" ht="39" customHeight="1">
      <x:c r="A3" s="10" t="str">
        <x:v>Status dropdown</x:v>
      </x:c>
      <x:c r="B3" s="10" t="str">
        <x:v>Choose Open, In Progress, Pending Verification, Closed, or Risk Accepted.</x:v>
      </x:c>
    </x:row>
    <x:row r="4" ht="39" customHeight="1">
      <x:c r="A4" s="10" t="str">
        <x:v>Evidence</x:v>
      </x:c>
      <x:c r="B4" s="10" t="str">
        <x:v>Enter actual verification references only when available. Blank means none supplied.</x:v>
      </x:c>
    </x:row>
    <x:row r="5" ht="39" customHeight="1">
      <x:c r="A5" s="10" t="str">
        <x:v>Closure rule</x:v>
      </x:c>
      <x:c r="B5" s="10" t="str">
        <x:v>Only mark Closed after remediation is verified and authorised closure is recorded.</x:v>
      </x:c>
    </x:row>
    <x:row r="6" ht="39" customHeight="1">
      <x:c r="A6" s="10" t="str">
        <x:v>Risk Accepted</x:v>
      </x:c>
      <x:c r="B6" s="10" t="str">
        <x:v>Use only after documented approval by an authorised risk owner; do not treat as remediated.</x:v>
      </x:c>
    </x:row>
    <x:row r="7" ht="39" customHeight="1">
      <x:c r="A7" s="10" t="str">
        <x:v>Dates and owners</x:v>
      </x:c>
      <x:c r="B7" s="10" t="str">
        <x:v>All starting dates and role assignments are illustrative and editable.</x:v>
      </x:c>
    </x:row>
    <x:row r="8" ht="39" customHeight="1">
      <x:c r="A8" s="10" t="str">
        <x:v>Source report</x:v>
      </x:c>
      <x:c r="B8" s="10" t="str">
        <x:v>https://github.com/Kanika-Hub-nci/healthcare-cybersecurity-risk-assessment/blob/main/MediNova_ISO27001_Gap_Assessment.md</x:v>
      </x:c>
    </x:row>
    <x:row r="9" ht="39" customHeight="1">
      <x:c r="A9" s="10" t="str">
        <x:v>Scope</x:v>
      </x:c>
      <x:c r="B9" s="10" t="str">
        <x:v>Fictional educational portfolio exercise; not an audit or compliance certification.</x:v>
      </x:c>
    </x:row>
  </x:sheetData>
  <x:pageMargins left="0.7" right="0.7" top="0.75" bottom="0.75" header="0.3" footer="0.3"/>
</x:worksheet>
</file>