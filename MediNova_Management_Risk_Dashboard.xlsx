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b3941267b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agement Dashboard" sheetId="1" r:id="Rf044bb32aad54809"/>
    <x:sheet xmlns:r="http://schemas.openxmlformats.org/officeDocument/2006/relationships" name="Findings" sheetId="2" r:id="Rd72fdb5e38424ca4"/>
    <x:sheet xmlns:r="http://schemas.openxmlformats.org/officeDocument/2006/relationships" name="Exceptions" sheetId="3" r:id="Rbe9ae5765fa0447b"/>
    <x:sheet xmlns:r="http://schemas.openxmlformats.org/officeDocument/2006/relationships" name="Read Me" sheetId="4" r:id="R98cdfaaa8db7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i/>
      <x:sz val="11"/>
      <x:color rgb="FF53687A"/>
      <x:name val="Carlito"/>
    </x:font>
    <x:font>
      <x:b/>
      <x:sz val="11"/>
      <x:color rgb="FF24506A"/>
      <x:name val="Carlito"/>
    </x:font>
    <x:font>
      <x:b/>
      <x:sz val="23"/>
      <x:color rgb="FF153A52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A52"/>
      </x:patternFill>
    </x:fill>
    <x:fill>
      <x:patternFill patternType="solid">
        <x:fgColor rgb="FFE4EDF3"/>
      </x:patternFill>
    </x:fill>
    <x:fill>
      <x:patternFill patternType="solid">
        <x:fgColor rgb="FFF2F6F8"/>
      </x:patternFill>
    </x:fill>
    <x:fill>
      <x:patternFill patternType="solid">
        <x:fgColor rgb="FF245D76"/>
      </x:patternFill>
    </x:fill>
    <x:fill>
      <x:patternFill patternType="solid">
        <x:fgColor rgb="FFD7E7E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DE8E8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9587df98645fc" /><Relationship Type="http://schemas.openxmlformats.org/officeDocument/2006/relationships/theme" Target="/xl/theme/theme1.xml" Id="R1732e12a69b443a3" /><Relationship Type="http://schemas.openxmlformats.org/officeDocument/2006/relationships/sharedStrings" Target="/xl/sharedStrings.xml" Id="Rd83033261bee415e" /><Relationship Type="http://schemas.openxmlformats.org/officeDocument/2006/relationships/worksheet" Target="/xl/worksheets/sheet1.xml" Id="Rf044bb32aad54809" /><Relationship Type="http://schemas.openxmlformats.org/officeDocument/2006/relationships/worksheet" Target="/xl/worksheets/sheet2.xml" Id="Rd72fdb5e38424ca4" /><Relationship Type="http://schemas.openxmlformats.org/officeDocument/2006/relationships/worksheet" Target="/xl/worksheets/sheet3.xml" Id="Rbe9ae5765fa0447b" /><Relationship Type="http://schemas.openxmlformats.org/officeDocument/2006/relationships/worksheet" Target="/xl/worksheets/sheet4.xml" Id="R98cdfaaa8db743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20" hidden="0" customWidth="1"/>
    <x:col min="4" max="4" width="22" hidden="0" customWidth="1"/>
    <x:col min="5" max="5" width="19" hidden="0" customWidth="1"/>
    <x:col min="6" max="6" width="29" hidden="0" customWidth="1"/>
    <x:col min="7" max="7" width="31" hidden="0" customWidth="1"/>
    <x:col min="8" max="8" width="23" hidden="0" customWidth="1"/>
  </x:cols>
  <x:sheetData>
    <x:row r="1" ht="29" customHeight="1">
      <x:c r="A1" s="14" t="str">
        <x:v>MEDINOVA  |  CYBERSECURITY RISK BRIEF</x:v>
      </x:c>
      <x:c r="B1" s="14"/>
      <x:c r="C1" s="14"/>
      <x:c r="D1" s="14"/>
      <x:c r="E1" s="14"/>
      <x:c r="F1" s="14"/>
      <x:c r="G1" s="14"/>
      <x:c r="H1" s="14"/>
    </x:row>
    <x:row r="2" ht="29" customHeight="1">
      <x:c r="A2" s="14"/>
      <x:c r="B2" s="14"/>
      <x:c r="C2" s="14"/>
      <x:c r="D2" s="14"/>
      <x:c r="E2" s="14"/>
      <x:c r="F2" s="14"/>
      <x:c r="G2" s="14"/>
      <x:c r="H2" s="14"/>
    </x:row>
    <x:row r="3" ht="25" customHeight="1">
      <x:c r="A3" s="16" t="str">
        <x:v>Fictional training scenario • Baseline: 15 October 2026 • Not an actual audit or verified security assessment</x:v>
      </x:c>
      <x:c r="B3" s="16"/>
      <x:c r="C3" s="16"/>
      <x:c r="D3" s="16"/>
      <x:c r="E3" s="16"/>
      <x:c r="F3" s="16"/>
      <x:c r="G3" s="16"/>
      <x:c r="H3" s="16"/>
    </x:row>
    <x:row r="5" ht="28" customHeight="1">
      <x:c r="A5" s="20" t="str">
        <x:v>TOTAL FINDINGS</x:v>
      </x:c>
      <x:c r="B5" s="20"/>
      <x:c r="C5" s="20" t="str">
        <x:v>HIGH / CRITICAL</x:v>
      </x:c>
      <x:c r="D5" s="20"/>
      <x:c r="E5" s="20" t="str">
        <x:v>OPEN FINDINGS</x:v>
      </x:c>
      <x:c r="F5" s="20"/>
      <x:c r="G5" s="20" t="str">
        <x:v>PENDING EXCEPTIONS</x:v>
      </x:c>
      <x:c r="H5" s="20"/>
    </x:row>
    <x:row r="6" ht="27" customHeight="1">
      <x:c r="A6" s="27" t="n">
        <x:f>COUNTA(Findings!A2:A100)</x:f>
        <x:v>3</x:v>
      </x:c>
      <x:c r="B6" s="27"/>
      <x:c r="C6" s="27" t="n">
        <x:f>COUNTIF(Findings!C2:C100,"High")+COUNTIF(Findings!C2:C100,"Critical")</x:f>
        <x:v>3</x:v>
      </x:c>
      <x:c r="D6" s="27"/>
      <x:c r="E6" s="27" t="n">
        <x:f>COUNTIF(Findings!D2:D100,"Open")</x:f>
        <x:v>3</x:v>
      </x:c>
      <x:c r="F6" s="27"/>
      <x:c r="G6" s="27" t="n">
        <x:f>COUNTIF(Exceptions!D2:D100,"Pending Approval")</x:f>
        <x:v>1</x:v>
      </x:c>
      <x:c r="H6" s="27"/>
    </x:row>
    <x:row r="7" ht="27" customHeight="1">
      <x:c r="A7" s="27"/>
      <x:c r="B7" s="27"/>
      <x:c r="C7" s="27"/>
      <x:c r="D7" s="27"/>
      <x:c r="E7" s="27"/>
      <x:c r="F7" s="27"/>
      <x:c r="G7" s="27"/>
      <x:c r="H7" s="27"/>
    </x:row>
    <x:row r="9" ht="30" customHeight="1">
      <x:c r="A9" s="33" t="str">
        <x:v>MANAGEMENT PRIORITIES</x:v>
      </x:c>
      <x:c r="B9" s="33"/>
      <x:c r="C9" s="33"/>
      <x:c r="D9" s="33"/>
      <x:c r="E9" s="33"/>
      <x:c r="F9" s="33"/>
      <x:c r="G9" s="33"/>
      <x:c r="H9" s="33"/>
    </x:row>
    <x:row r="10" ht="34" customHeight="1">
      <x:c r="A10" s="38" t="str">
        <x:v>Finding</x:v>
      </x:c>
      <x:c r="B10" s="38" t="str">
        <x:v>Business concern</x:v>
      </x:c>
      <x:c r="C10" s="38" t="str">
        <x:v>Status</x:v>
      </x:c>
      <x:c r="D10" s="38" t="str">
        <x:v>Owner</x:v>
      </x:c>
      <x:c r="E10" s="38" t="str">
        <x:v>Due date</x:v>
      </x:c>
      <x:c r="F10" s="38" t="str">
        <x:v>Next action</x:v>
      </x:c>
      <x:c r="G10" s="38" t="str">
        <x:v>Decision needed</x:v>
      </x:c>
      <x:c r="H10" s="38" t="str">
        <x:v>Evidence status</x:v>
      </x:c>
    </x:row>
    <x:row r="11" ht="50" customHeight="1">
      <x:c r="A11" s="8" t="str">
        <x:v>GAP-001</x:v>
      </x:c>
      <x:c r="B11" s="8" t="str">
        <x:v>Former employee access</x:v>
      </x:c>
      <x:c r="C11" s="8" t="str">
        <x:v>Open</x:v>
      </x:c>
      <x:c r="D11" s="8" t="str">
        <x:v>IT Operations</x:v>
      </x:c>
      <x:c r="E11" s="10" t="n">
        <x:v>46332</x:v>
      </x:c>
      <x:c r="F11" s="8" t="str">
        <x:v>Verify offboarding</x:v>
      </x:c>
      <x:c r="G11" s="8" t="str">
        <x:v>Support process improvement</x:v>
      </x:c>
      <x:c r="H11" s="8" t="str">
        <x:v>Not verified</x:v>
      </x:c>
    </x:row>
    <x:row r="12" ht="50" customHeight="1">
      <x:c r="A12" s="8" t="str">
        <x:v>GAP-002</x:v>
      </x:c>
      <x:c r="B12" s="8" t="str">
        <x:v>Administrator MFA gap</x:v>
      </x:c>
      <x:c r="C12" s="8" t="str">
        <x:v>Open</x:v>
      </x:c>
      <x:c r="D12" s="8" t="str">
        <x:v>IT Security</x:v>
      </x:c>
      <x:c r="E12" s="10" t="n">
        <x:v>46325</x:v>
      </x:c>
      <x:c r="F12" s="8" t="str">
        <x:v>Review exception</x:v>
      </x:c>
      <x:c r="G12" s="8" t="str">
        <x:v>Approval decision pending</x:v>
      </x:c>
      <x:c r="H12" s="8" t="str">
        <x:v>Not verified</x:v>
      </x:c>
    </x:row>
    <x:row r="13" ht="50" customHeight="1">
      <x:c r="A13" s="8" t="str">
        <x:v>GAP-003</x:v>
      </x:c>
      <x:c r="B13" s="8" t="str">
        <x:v>Recovery uncertainty</x:v>
      </x:c>
      <x:c r="C13" s="8" t="str">
        <x:v>Open</x:v>
      </x:c>
      <x:c r="D13" s="8" t="str">
        <x:v>Backup Lead</x:v>
      </x:c>
      <x:c r="E13" s="10" t="n">
        <x:v>46346</x:v>
      </x:c>
      <x:c r="F13" s="8" t="str">
        <x:v>Test restore</x:v>
      </x:c>
      <x:c r="G13" s="8" t="str">
        <x:v>Prioritise recovery testing</x:v>
      </x:c>
      <x:c r="H13" s="8" t="str">
        <x:v>Not verified</x:v>
      </x:c>
    </x:row>
    <x:row r="15" ht="30" customHeight="1">
      <x:c r="A15" s="33" t="str">
        <x:v>MANAGEMENT SUMMARY</x:v>
      </x:c>
      <x:c r="B15" s="33"/>
      <x:c r="C15" s="33"/>
      <x:c r="D15" s="33"/>
      <x:c r="E15" s="33"/>
      <x:c r="F15" s="33"/>
      <x:c r="G15" s="33"/>
      <x:c r="H15" s="33"/>
    </x:row>
    <x:row r="16" ht="32" customHeight="1">
      <x:c r="A16" s="8" t="str">
        <x:v>Three high-severity simulated findings remain open; no remediation has been verified.</x:v>
      </x:c>
      <x:c r="B16" s="8"/>
      <x:c r="C16" s="8"/>
      <x:c r="D16" s="8"/>
      <x:c r="E16" s="8"/>
      <x:c r="F16" s="8"/>
      <x:c r="G16" s="8"/>
      <x:c r="H16" s="8"/>
    </x:row>
    <x:row r="17" ht="32" customHeight="1">
      <x:c r="A17" s="8" t="str">
        <x:v>One emergency-access MFA exception request is pending assessment and approval.</x:v>
      </x:c>
      <x:c r="B17" s="8"/>
      <x:c r="C17" s="8"/>
      <x:c r="D17" s="8"/>
      <x:c r="E17" s="8"/>
      <x:c r="F17" s="8"/>
      <x:c r="G17" s="8"/>
      <x:c r="H17" s="8"/>
    </x:row>
    <x:row r="18" ht="32" customHeight="1">
      <x:c r="A18" s="8" t="str">
        <x:v>Priority decisions: strengthen offboarding, resolve/assess MFA exception, and resource backup restoration testing.</x:v>
      </x:c>
      <x:c r="B18" s="8"/>
      <x:c r="C18" s="8"/>
      <x:c r="D18" s="8"/>
      <x:c r="E18" s="8"/>
      <x:c r="F18" s="8"/>
      <x:c r="G18" s="8"/>
      <x:c r="H18" s="8"/>
    </x:row>
    <x:row r="20" ht="32" customHeight="1">
      <x:c r="A20" s="8" t="str">
        <x:v>Use Findings and Exceptions sheets to update scenarios; headline KPI counts recalculate automatically.</x:v>
      </x:c>
      <x:c r="B20" s="8"/>
      <x:c r="C20" s="8"/>
      <x:c r="D20" s="8"/>
      <x:c r="E20" s="8"/>
      <x:c r="F20" s="8"/>
      <x:c r="G20" s="8"/>
      <x:c r="H20" s="8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A15:H15"/>
    <x:mergeCell ref="A16:H16"/>
    <x:mergeCell ref="A17:H17"/>
    <x:mergeCell ref="A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14" hidden="0" customWidth="1"/>
    <x:col min="4" max="4" width="20" hidden="0" customWidth="1"/>
    <x:col min="5" max="5" width="28" hidden="0" customWidth="1"/>
    <x:col min="6" max="6" width="18" hidden="0" customWidth="1"/>
    <x:col min="7" max="7" width="46" hidden="0" customWidth="1"/>
    <x:col min="8" max="8" width="53" hidden="0" customWidth="1"/>
    <x:col min="9" max="9" width="51" hidden="0" customWidth="1"/>
    <x:col min="10" max="10" width="45" hidden="0" customWidth="1"/>
  </x:cols>
  <x:sheetData>
    <x:row r="1" ht="42" customHeight="1">
      <x:c r="A1" s="4" t="str">
        <x:v>Finding ID</x:v>
      </x:c>
      <x:c r="B1" s="4" t="str">
        <x:v>Risk / Control Gap</x:v>
      </x:c>
      <x:c r="C1" s="4" t="str">
        <x:v>Priority</x:v>
      </x:c>
      <x:c r="D1" s="4" t="str">
        <x:v>Status</x:v>
      </x:c>
      <x:c r="E1" s="4" t="str">
        <x:v>Accountable Owner (Illustrative)</x:v>
      </x:c>
      <x:c r="F1" s="4" t="str">
        <x:v>Target Date</x:v>
      </x:c>
      <x:c r="G1" s="4" t="str">
        <x:v>Business Impact</x:v>
      </x:c>
      <x:c r="H1" s="4" t="str">
        <x:v>Next Action</x:v>
      </x:c>
      <x:c r="I1" s="4" t="str">
        <x:v>Evidence / Verification</x:v>
      </x:c>
      <x:c r="J1" s="4" t="str">
        <x:v>Management Decision Needed</x:v>
      </x:c>
    </x:row>
    <x:row r="2" ht="75" customHeight="1">
      <x:c r="A2" s="8" t="str">
        <x:v>GAP-001</x:v>
      </x:c>
      <x:c r="B2" s="8" t="str">
        <x:v>Former employee account remains active</x:v>
      </x:c>
      <x:c r="C2" s="8" t="str">
        <x:v>High</x:v>
      </x:c>
      <x:c r="D2" s="8" t="str">
        <x:v>Open</x:v>
      </x:c>
      <x:c r="E2" s="8" t="str">
        <x:v>IT Operations Manager</x:v>
      </x:c>
      <x:c r="F2" s="10" t="n">
        <x:v>46332</x:v>
      </x:c>
      <x:c r="G2" s="8" t="str">
        <x:v>Potential unauthorised access to patient data</x:v>
      </x:c>
      <x:c r="H2" s="8" t="str">
        <x:v>Investigate offboarding, revoke access as appropriate and validate process</x:v>
      </x:c>
      <x:c r="I2" s="8" t="str">
        <x:v>HR departure records; account deactivation logs; sample offboarding tickets</x:v>
      </x:c>
      <x:c r="J2" s="8" t="str">
        <x:v>Support accountable offboarding process and remediation</x:v>
      </x:c>
    </x:row>
    <x:row r="3" ht="75" customHeight="1">
      <x:c r="A3" s="8" t="str">
        <x:v>GAP-002</x:v>
      </x:c>
      <x:c r="B3" s="8" t="str">
        <x:v>Privileged accounts lack complete MFA enforcement</x:v>
      </x:c>
      <x:c r="C3" s="8" t="str">
        <x:v>High</x:v>
      </x:c>
      <x:c r="D3" s="8" t="str">
        <x:v>Open</x:v>
      </x:c>
      <x:c r="E3" s="8" t="str">
        <x:v>IT Security Manager</x:v>
      </x:c>
      <x:c r="F3" s="10" t="n">
        <x:v>46325</x:v>
      </x:c>
      <x:c r="G3" s="8" t="str">
        <x:v>Privileged account compromise and sensitive data exposure</x:v>
      </x:c>
      <x:c r="H3" s="8" t="str">
        <x:v>Resolve MFA gap; evaluate emergency account exception</x:v>
      </x:c>
      <x:c r="I3" s="8" t="str">
        <x:v>Current account inventory; MFA settings; sign-in evidence; exception approval</x:v>
      </x:c>
      <x:c r="J3" s="8" t="str">
        <x:v>Decide whether to approve justified, controlled exception</x:v>
      </x:c>
    </x:row>
    <x:row r="4" ht="75" customHeight="1">
      <x:c r="A4" s="8" t="str">
        <x:v>GAP-003</x:v>
      </x:c>
      <x:c r="B4" s="8" t="str">
        <x:v>Backup restoration tests not performed</x:v>
      </x:c>
      <x:c r="C4" s="8" t="str">
        <x:v>High</x:v>
      </x:c>
      <x:c r="D4" s="8" t="str">
        <x:v>Open</x:v>
      </x:c>
      <x:c r="E4" s="8" t="str">
        <x:v>Infrastructure &amp; Backup Lead</x:v>
      </x:c>
      <x:c r="F4" s="10" t="n">
        <x:v>46346</x:v>
      </x:c>
      <x:c r="G4" s="8" t="str">
        <x:v>Uncertain recovery capability and prolonged disruption</x:v>
      </x:c>
      <x:c r="H4" s="8" t="str">
        <x:v>Schedule and document restoration testing</x:v>
      </x:c>
      <x:c r="I4" s="8" t="str">
        <x:v>Restore test results; backup logs; recovery records</x:v>
      </x:c>
      <x:c r="J4" s="8" t="str">
        <x:v>Prioritise and resource recovery testing</x:v>
      </x:c>
    </x:row>
    <x:row r="5">
      <x:c r="F5" s="11"/>
    </x:row>
    <x:row r="6">
      <x:c r="F6" s="11"/>
    </x:row>
    <x:row r="7">
      <x:c r="F7" s="11"/>
    </x:row>
    <x:row r="8">
      <x:c r="F8" s="11"/>
    </x:row>
    <x:row r="9">
      <x:c r="F9" s="11"/>
    </x:row>
    <x:row r="10">
      <x:c r="F10" s="11"/>
    </x:row>
    <x:row r="11">
      <x:c r="F11" s="11"/>
    </x:row>
    <x:row r="12">
      <x:c r="F12" s="11"/>
    </x:row>
    <x:row r="13">
      <x:c r="F13" s="11"/>
    </x:row>
    <x:row r="14">
      <x:c r="F14" s="11"/>
    </x:row>
    <x:row r="15">
      <x:c r="F15" s="11"/>
    </x:row>
    <x:row r="16">
      <x:c r="F16" s="11"/>
    </x:row>
    <x:row r="17">
      <x:c r="F17" s="11"/>
    </x:row>
    <x:row r="18">
      <x:c r="F18" s="11"/>
    </x:row>
    <x:row r="19">
      <x:c r="F19" s="11"/>
    </x:row>
    <x:row r="20">
      <x:c r="F20" s="11"/>
    </x:row>
    <x:row r="21">
      <x:c r="F21" s="11"/>
    </x:row>
    <x:row r="22">
      <x:c r="F22" s="11"/>
    </x:row>
    <x:row r="23">
      <x:c r="F23" s="11"/>
    </x:row>
    <x:row r="24">
      <x:c r="F24" s="11"/>
    </x:row>
    <x:row r="25">
      <x:c r="F25" s="11"/>
    </x:row>
    <x:row r="26">
      <x:c r="F26" s="11"/>
    </x:row>
    <x:row r="27">
      <x:c r="F27" s="11"/>
    </x:row>
    <x:row r="28">
      <x:c r="F28" s="11"/>
    </x:row>
    <x:row r="29">
      <x:c r="F29" s="11"/>
    </x:row>
    <x:row r="30">
      <x:c r="F30" s="11"/>
    </x:row>
    <x:row r="31">
      <x:c r="F31" s="11"/>
    </x:row>
    <x:row r="32">
      <x:c r="F32" s="11"/>
    </x:row>
    <x:row r="33">
      <x:c r="F33" s="11"/>
    </x:row>
    <x:row r="34">
      <x:c r="F34" s="11"/>
    </x:row>
    <x:row r="35">
      <x:c r="F35" s="11"/>
    </x:row>
    <x:row r="36">
      <x:c r="F36" s="11"/>
    </x:row>
    <x:row r="37">
      <x:c r="F37" s="11"/>
    </x:row>
    <x:row r="38">
      <x:c r="F38" s="11"/>
    </x:row>
    <x:row r="39">
      <x:c r="F39" s="11"/>
    </x:row>
    <x:row r="40">
      <x:c r="F40" s="11"/>
    </x:row>
    <x:row r="41">
      <x:c r="F41" s="11"/>
    </x:row>
    <x:row r="42">
      <x:c r="F42" s="11"/>
    </x:row>
    <x:row r="43">
      <x:c r="F43" s="11"/>
    </x:row>
    <x:row r="44">
      <x:c r="F44" s="11"/>
    </x:row>
    <x:row r="45">
      <x:c r="F45" s="11"/>
    </x:row>
    <x:row r="46">
      <x:c r="F46" s="11"/>
    </x:row>
    <x:row r="47">
      <x:c r="F47" s="11"/>
    </x:row>
    <x:row r="48">
      <x:c r="F48" s="11"/>
    </x:row>
    <x:row r="49">
      <x:c r="F49" s="11"/>
    </x:row>
    <x:row r="50">
      <x:c r="F50" s="11"/>
    </x:row>
    <x:row r="51">
      <x:c r="F51" s="11"/>
    </x:row>
    <x:row r="52">
      <x:c r="F52" s="11"/>
    </x:row>
    <x:row r="53">
      <x:c r="F53" s="11"/>
    </x:row>
    <x:row r="54">
      <x:c r="F54" s="11"/>
    </x:row>
    <x:row r="55">
      <x:c r="F55" s="11"/>
    </x:row>
    <x:row r="56">
      <x:c r="F56" s="11"/>
    </x:row>
    <x:row r="57">
      <x:c r="F57" s="11"/>
    </x:row>
    <x:row r="58">
      <x:c r="F58" s="11"/>
    </x:row>
    <x:row r="59">
      <x:c r="F59" s="11"/>
    </x:row>
    <x:row r="60">
      <x:c r="F60" s="11"/>
    </x:row>
    <x:row r="61">
      <x:c r="F61" s="11"/>
    </x:row>
    <x:row r="62">
      <x:c r="F62" s="11"/>
    </x:row>
    <x:row r="63">
      <x:c r="F63" s="11"/>
    </x:row>
    <x:row r="64">
      <x:c r="F64" s="11"/>
    </x:row>
    <x:row r="65">
      <x:c r="F65" s="11"/>
    </x:row>
    <x:row r="66">
      <x:c r="F66" s="11"/>
    </x:row>
    <x:row r="67">
      <x:c r="F67" s="11"/>
    </x:row>
    <x:row r="68">
      <x:c r="F68" s="11"/>
    </x:row>
    <x:row r="69">
      <x:c r="F69" s="11"/>
    </x:row>
    <x:row r="70">
      <x:c r="F70" s="11"/>
    </x:row>
    <x:row r="71">
      <x:c r="F71" s="11"/>
    </x:row>
    <x:row r="72">
      <x:c r="F72" s="11"/>
    </x:row>
    <x:row r="73">
      <x:c r="F73" s="11"/>
    </x:row>
    <x:row r="74">
      <x:c r="F74" s="11"/>
    </x:row>
    <x:row r="75">
      <x:c r="F75" s="11"/>
    </x:row>
    <x:row r="76">
      <x:c r="F76" s="11"/>
    </x:row>
    <x:row r="77">
      <x:c r="F77" s="11"/>
    </x:row>
    <x:row r="78">
      <x:c r="F78" s="11"/>
    </x:row>
    <x:row r="79">
      <x:c r="F79" s="11"/>
    </x:row>
    <x:row r="80">
      <x:c r="F80" s="11"/>
    </x:row>
    <x:row r="81">
      <x:c r="F81" s="11"/>
    </x:row>
    <x:row r="82">
      <x:c r="F82" s="11"/>
    </x:row>
    <x:row r="83">
      <x:c r="F83" s="11"/>
    </x:row>
    <x:row r="84">
      <x:c r="F84" s="11"/>
    </x:row>
    <x:row r="85">
      <x:c r="F85" s="11"/>
    </x:row>
    <x:row r="86">
      <x:c r="F86" s="11"/>
    </x:row>
    <x:row r="87">
      <x:c r="F87" s="11"/>
    </x:row>
    <x:row r="88">
      <x:c r="F88" s="11"/>
    </x:row>
    <x:row r="89">
      <x:c r="F89" s="11"/>
    </x:row>
    <x:row r="90">
      <x:c r="F90" s="11"/>
    </x:row>
    <x:row r="91">
      <x:c r="F91" s="11"/>
    </x:row>
    <x:row r="92">
      <x:c r="F92" s="11"/>
    </x:row>
    <x:row r="93">
      <x:c r="F93" s="11"/>
    </x:row>
    <x:row r="94">
      <x:c r="F94" s="11"/>
    </x:row>
    <x:row r="95">
      <x:c r="F95" s="11"/>
    </x:row>
    <x:row r="96">
      <x:c r="F96" s="11"/>
    </x:row>
    <x:row r="97">
      <x:c r="F97" s="11"/>
    </x:row>
    <x:row r="98">
      <x:c r="F98" s="11"/>
    </x:row>
    <x:row r="99">
      <x:c r="F99" s="11"/>
    </x:row>
    <x:row r="100">
      <x:c r="F100" s="11"/>
    </x:row>
  </x:sheetData>
  <x:conditionalFormatting sqref="D2:D100">
    <x:cfRule type="expression" dxfId="0" priority="1">
      <x:formula>$D2="Open"</x:formula>
    </x:cfRule>
    <x:cfRule type="expression" dxfId="1" priority="2">
      <x:formula>$D2="Closed"</x:formula>
    </x:cfRule>
  </x:conditionalFormatting>
  <x:dataValidations count="2">
    <x:dataValidation type="list" sqref="D2:D100">
      <x:formula1>"Open,In Progress,Pending Verification,Closed,Risk Accepted"</x:formula1>
    </x:dataValidation>
    <x:dataValidation type="list" sqref="C2:C100">
      <x:formula1>"Critical,High,Medium,Low"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24" hidden="0" customWidth="1"/>
    <x:col min="5" max="5" width="27" hidden="0" customWidth="1"/>
    <x:col min="6" max="6" width="20" hidden="0" customWidth="1"/>
    <x:col min="7" max="7" width="20" hidden="0" customWidth="1"/>
    <x:col min="8" max="8" width="55" hidden="0" customWidth="1"/>
  </x:cols>
  <x:sheetData>
    <x:row r="1" ht="40" customHeight="1">
      <x:c r="A1" s="4" t="str">
        <x:v>Exception ID</x:v>
      </x:c>
      <x:c r="B1" s="4" t="str">
        <x:v>Linked Finding</x:v>
      </x:c>
      <x:c r="C1" s="4" t="str">
        <x:v>Description</x:v>
      </x:c>
      <x:c r="D1" s="4" t="str">
        <x:v>Approval Status</x:v>
      </x:c>
      <x:c r="E1" s="4" t="str">
        <x:v>Risk Owner (Proposed)</x:v>
      </x:c>
      <x:c r="F1" s="4" t="str">
        <x:v>Approval Date</x:v>
      </x:c>
      <x:c r="G1" s="4" t="str">
        <x:v>Expiry Date</x:v>
      </x:c>
      <x:c r="H1" s="4" t="str">
        <x:v>Decision Needed</x:v>
      </x:c>
    </x:row>
    <x:row r="2" ht="65" customHeight="1">
      <x:c r="A2" s="8" t="str">
        <x:v>EXC-001</x:v>
      </x:c>
      <x:c r="B2" s="8" t="str">
        <x:v>GAP-002</x:v>
      </x:c>
      <x:c r="C2" s="8" t="str">
        <x:v>Emergency administrator MFA exception request</x:v>
      </x:c>
      <x:c r="D2" s="8" t="str">
        <x:v>Pending Approval</x:v>
      </x:c>
      <x:c r="E2" s="8" t="str">
        <x:v>Head of IT Security</x:v>
      </x:c>
      <x:c r="F2" s="10"/>
      <x:c r="G2" s="10"/>
      <x:c r="H2" s="8" t="str">
        <x:v>Assess justification, controls and residual risk before approval</x:v>
      </x:c>
    </x:row>
    <x:row r="3">
      <x:c r="F3" s="11"/>
      <x:c r="G3" s="11"/>
    </x:row>
    <x:row r="4">
      <x:c r="F4" s="11"/>
      <x:c r="G4" s="11"/>
    </x:row>
    <x:row r="5">
      <x:c r="F5" s="11"/>
      <x:c r="G5" s="11"/>
    </x:row>
    <x:row r="6">
      <x:c r="F6" s="11"/>
      <x:c r="G6" s="11"/>
    </x:row>
    <x:row r="7">
      <x:c r="F7" s="11"/>
      <x:c r="G7" s="11"/>
    </x:row>
    <x:row r="8">
      <x:c r="F8" s="11"/>
      <x:c r="G8" s="11"/>
    </x:row>
    <x:row r="9">
      <x:c r="F9" s="11"/>
      <x:c r="G9" s="11"/>
    </x:row>
    <x:row r="10">
      <x:c r="F10" s="11"/>
      <x:c r="G10" s="11"/>
    </x:row>
    <x:row r="11">
      <x:c r="F11" s="11"/>
      <x:c r="G11" s="11"/>
    </x:row>
    <x:row r="12">
      <x:c r="F12" s="11"/>
      <x:c r="G12" s="11"/>
    </x:row>
    <x:row r="13">
      <x:c r="F13" s="11"/>
      <x:c r="G13" s="11"/>
    </x:row>
    <x:row r="14">
      <x:c r="F14" s="11"/>
      <x:c r="G14" s="11"/>
    </x:row>
    <x:row r="15">
      <x:c r="F15" s="11"/>
      <x:c r="G15" s="11"/>
    </x:row>
    <x:row r="16">
      <x:c r="F16" s="11"/>
      <x:c r="G16" s="11"/>
    </x:row>
    <x:row r="17">
      <x:c r="F17" s="11"/>
      <x:c r="G17" s="11"/>
    </x:row>
    <x:row r="18">
      <x:c r="F18" s="11"/>
      <x:c r="G18" s="11"/>
    </x:row>
    <x:row r="19">
      <x:c r="F19" s="11"/>
      <x:c r="G19" s="11"/>
    </x:row>
    <x:row r="20">
      <x:c r="F20" s="11"/>
      <x:c r="G20" s="11"/>
    </x:row>
    <x:row r="21">
      <x:c r="F21" s="11"/>
      <x:c r="G21" s="11"/>
    </x:row>
    <x:row r="22">
      <x:c r="F22" s="11"/>
      <x:c r="G22" s="11"/>
    </x:row>
    <x:row r="23">
      <x:c r="F23" s="11"/>
      <x:c r="G23" s="11"/>
    </x:row>
    <x:row r="24">
      <x:c r="F24" s="11"/>
      <x:c r="G24" s="11"/>
    </x:row>
    <x:row r="25">
      <x:c r="F25" s="11"/>
      <x:c r="G25" s="11"/>
    </x:row>
    <x:row r="26">
      <x:c r="F26" s="11"/>
      <x:c r="G26" s="11"/>
    </x:row>
    <x:row r="27">
      <x:c r="F27" s="11"/>
      <x:c r="G27" s="11"/>
    </x:row>
    <x:row r="28">
      <x:c r="F28" s="11"/>
      <x:c r="G28" s="11"/>
    </x:row>
    <x:row r="29">
      <x:c r="F29" s="11"/>
      <x:c r="G29" s="11"/>
    </x:row>
    <x:row r="30">
      <x:c r="F30" s="11"/>
      <x:c r="G30" s="11"/>
    </x:row>
    <x:row r="31">
      <x:c r="F31" s="11"/>
      <x:c r="G31" s="11"/>
    </x:row>
    <x:row r="32">
      <x:c r="F32" s="11"/>
      <x:c r="G32" s="11"/>
    </x:row>
    <x:row r="33">
      <x:c r="F33" s="11"/>
      <x:c r="G33" s="11"/>
    </x:row>
    <x:row r="34">
      <x:c r="F34" s="11"/>
      <x:c r="G34" s="11"/>
    </x:row>
    <x:row r="35">
      <x:c r="F35" s="11"/>
      <x:c r="G35" s="11"/>
    </x:row>
    <x:row r="36">
      <x:c r="F36" s="11"/>
      <x:c r="G36" s="11"/>
    </x:row>
    <x:row r="37">
      <x:c r="F37" s="11"/>
      <x:c r="G37" s="11"/>
    </x:row>
    <x:row r="38">
      <x:c r="F38" s="11"/>
      <x:c r="G38" s="11"/>
    </x:row>
    <x:row r="39">
      <x:c r="F39" s="11"/>
      <x:c r="G39" s="11"/>
    </x:row>
    <x:row r="40">
      <x:c r="F40" s="11"/>
      <x:c r="G40" s="11"/>
    </x:row>
    <x:row r="41">
      <x:c r="F41" s="11"/>
      <x:c r="G41" s="11"/>
    </x:row>
    <x:row r="42">
      <x:c r="F42" s="11"/>
      <x:c r="G42" s="11"/>
    </x:row>
    <x:row r="43">
      <x:c r="F43" s="11"/>
      <x:c r="G43" s="11"/>
    </x:row>
    <x:row r="44">
      <x:c r="F44" s="11"/>
      <x:c r="G44" s="11"/>
    </x:row>
    <x:row r="45">
      <x:c r="F45" s="11"/>
      <x:c r="G45" s="11"/>
    </x:row>
    <x:row r="46">
      <x:c r="F46" s="11"/>
      <x:c r="G46" s="11"/>
    </x:row>
    <x:row r="47">
      <x:c r="F47" s="11"/>
      <x:c r="G47" s="11"/>
    </x:row>
    <x:row r="48">
      <x:c r="F48" s="11"/>
      <x:c r="G48" s="11"/>
    </x:row>
    <x:row r="49">
      <x:c r="F49" s="11"/>
      <x:c r="G49" s="11"/>
    </x:row>
    <x:row r="50">
      <x:c r="F50" s="11"/>
      <x:c r="G50" s="11"/>
    </x:row>
    <x:row r="51">
      <x:c r="F51" s="11"/>
      <x:c r="G51" s="11"/>
    </x:row>
    <x:row r="52">
      <x:c r="F52" s="11"/>
      <x:c r="G52" s="11"/>
    </x:row>
    <x:row r="53">
      <x:c r="F53" s="11"/>
      <x:c r="G53" s="11"/>
    </x:row>
    <x:row r="54">
      <x:c r="F54" s="11"/>
      <x:c r="G54" s="11"/>
    </x:row>
    <x:row r="55">
      <x:c r="F55" s="11"/>
      <x:c r="G55" s="11"/>
    </x:row>
    <x:row r="56">
      <x:c r="F56" s="11"/>
      <x:c r="G56" s="11"/>
    </x:row>
    <x:row r="57">
      <x:c r="F57" s="11"/>
      <x:c r="G57" s="11"/>
    </x:row>
    <x:row r="58">
      <x:c r="F58" s="11"/>
      <x:c r="G58" s="11"/>
    </x:row>
    <x:row r="59">
      <x:c r="F59" s="11"/>
      <x:c r="G59" s="11"/>
    </x:row>
    <x:row r="60">
      <x:c r="F60" s="11"/>
      <x:c r="G60" s="11"/>
    </x:row>
    <x:row r="61">
      <x:c r="F61" s="11"/>
      <x:c r="G61" s="11"/>
    </x:row>
    <x:row r="62">
      <x:c r="F62" s="11"/>
      <x:c r="G62" s="11"/>
    </x:row>
    <x:row r="63">
      <x:c r="F63" s="11"/>
      <x:c r="G63" s="11"/>
    </x:row>
    <x:row r="64">
      <x:c r="F64" s="11"/>
      <x:c r="G64" s="11"/>
    </x:row>
    <x:row r="65">
      <x:c r="F65" s="11"/>
      <x:c r="G65" s="11"/>
    </x:row>
    <x:row r="66">
      <x:c r="F66" s="11"/>
      <x:c r="G66" s="11"/>
    </x:row>
    <x:row r="67">
      <x:c r="F67" s="11"/>
      <x:c r="G67" s="11"/>
    </x:row>
    <x:row r="68">
      <x:c r="F68" s="11"/>
      <x:c r="G68" s="11"/>
    </x:row>
    <x:row r="69">
      <x:c r="F69" s="11"/>
      <x:c r="G69" s="11"/>
    </x:row>
    <x:row r="70">
      <x:c r="F70" s="11"/>
      <x:c r="G70" s="11"/>
    </x:row>
    <x:row r="71">
      <x:c r="F71" s="11"/>
      <x:c r="G71" s="11"/>
    </x:row>
    <x:row r="72">
      <x:c r="F72" s="11"/>
      <x:c r="G72" s="11"/>
    </x:row>
    <x:row r="73">
      <x:c r="F73" s="11"/>
      <x:c r="G73" s="11"/>
    </x:row>
    <x:row r="74">
      <x:c r="F74" s="11"/>
      <x:c r="G74" s="11"/>
    </x:row>
    <x:row r="75">
      <x:c r="F75" s="11"/>
      <x:c r="G75" s="11"/>
    </x:row>
    <x:row r="76">
      <x:c r="F76" s="11"/>
      <x:c r="G76" s="11"/>
    </x:row>
    <x:row r="77">
      <x:c r="F77" s="11"/>
      <x:c r="G77" s="11"/>
    </x:row>
    <x:row r="78">
      <x:c r="F78" s="11"/>
      <x:c r="G78" s="11"/>
    </x:row>
    <x:row r="79">
      <x:c r="F79" s="11"/>
      <x:c r="G79" s="11"/>
    </x:row>
    <x:row r="80">
      <x:c r="F80" s="11"/>
      <x:c r="G80" s="11"/>
    </x:row>
    <x:row r="81">
      <x:c r="F81" s="11"/>
      <x:c r="G81" s="11"/>
    </x:row>
    <x:row r="82">
      <x:c r="F82" s="11"/>
      <x:c r="G82" s="11"/>
    </x:row>
    <x:row r="83">
      <x:c r="F83" s="11"/>
      <x:c r="G83" s="11"/>
    </x:row>
    <x:row r="84">
      <x:c r="F84" s="11"/>
      <x:c r="G84" s="11"/>
    </x:row>
    <x:row r="85">
      <x:c r="F85" s="11"/>
      <x:c r="G85" s="11"/>
    </x:row>
    <x:row r="86">
      <x:c r="F86" s="11"/>
      <x:c r="G86" s="11"/>
    </x:row>
    <x:row r="87">
      <x:c r="F87" s="11"/>
      <x:c r="G87" s="11"/>
    </x:row>
    <x:row r="88">
      <x:c r="F88" s="11"/>
      <x:c r="G88" s="11"/>
    </x:row>
    <x:row r="89">
      <x:c r="F89" s="11"/>
      <x:c r="G89" s="11"/>
    </x:row>
    <x:row r="90">
      <x:c r="F90" s="11"/>
      <x:c r="G90" s="11"/>
    </x:row>
    <x:row r="91">
      <x:c r="F91" s="11"/>
      <x:c r="G91" s="11"/>
    </x:row>
    <x:row r="92">
      <x:c r="F92" s="11"/>
      <x:c r="G92" s="11"/>
    </x:row>
    <x:row r="93">
      <x:c r="F93" s="11"/>
      <x:c r="G93" s="11"/>
    </x:row>
    <x:row r="94">
      <x:c r="F94" s="11"/>
      <x:c r="G94" s="11"/>
    </x:row>
    <x:row r="95">
      <x:c r="F95" s="11"/>
      <x:c r="G95" s="11"/>
    </x:row>
    <x:row r="96">
      <x:c r="F96" s="11"/>
      <x:c r="G96" s="11"/>
    </x:row>
    <x:row r="97">
      <x:c r="F97" s="11"/>
      <x:c r="G97" s="11"/>
    </x:row>
    <x:row r="98">
      <x:c r="F98" s="11"/>
      <x:c r="G98" s="11"/>
    </x:row>
    <x:row r="99">
      <x:c r="F99" s="11"/>
      <x:c r="G99" s="11"/>
    </x:row>
    <x:row r="100">
      <x:c r="F100" s="11"/>
      <x:c r="G100" s="11"/>
    </x:row>
  </x:sheetData>
  <x:dataValidations count="1">
    <x:dataValidation type="list" sqref="D2:D100">
      <x:formula1>"Pending Approval,Approved,Rejected,Withdrawn"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3" t="str">
        <x:v>Topic</x:v>
      </x:c>
      <x:c r="B1" s="3" t="str">
        <x:v>Guidance</x:v>
      </x:c>
    </x:row>
    <x:row r="2" ht="40" customHeight="1">
      <x:c r="A2" s="8" t="str">
        <x:v>Purpose</x:v>
      </x:c>
      <x:c r="B2" s="8" t="str">
        <x:v>Illustrative CISO-ready risk summary linked to three simulated GAP findings and one pending exception.</x:v>
      </x:c>
    </x:row>
    <x:row r="3" ht="40" customHeight="1">
      <x:c r="A3" s="8" t="str">
        <x:v>Scenario integrity</x:v>
      </x:c>
      <x:c r="B3" s="8" t="str">
        <x:v>No real evidence, remediation, approval or certification is claimed. Dates and owner roles are illustrative.</x:v>
      </x:c>
    </x:row>
    <x:row r="4" ht="40" customHeight="1">
      <x:c r="A4" s="8" t="str">
        <x:v>Update findings</x:v>
      </x:c>
      <x:c r="B4" s="8" t="str">
        <x:v>Edit Findings sheet statuses and details. KPI cards count rows and recalculate from Findings.</x:v>
      </x:c>
    </x:row>
    <x:row r="5" ht="40" customHeight="1">
      <x:c r="A5" s="8" t="str">
        <x:v>Update exceptions</x:v>
      </x:c>
      <x:c r="B5" s="8" t="str">
        <x:v>Edit Exceptions sheet only after documenting a fictional decision or a verified exercise outcome.</x:v>
      </x:c>
    </x:row>
    <x:row r="6" ht="40" customHeight="1">
      <x:c r="A6" s="8" t="str">
        <x:v>Important limitation</x:v>
      </x:c>
      <x:c r="B6" s="8" t="str">
        <x:v>The Management Priorities table is a fixed snapshot and must be updated manually when underlying findings change.</x:v>
      </x:c>
    </x:row>
    <x:row r="7" ht="40" customHeight="1">
      <x:c r="A7" s="8" t="str">
        <x:v>Supporting documents</x:v>
      </x:c>
      <x:c r="B7" s="8" t="str">
        <x:v>https://github.com/Kanika-Hub-nci/healthcare-cybersecurity-risk-assessment</x:v>
      </x:c>
    </x:row>
    <x:row r="8" ht="40" customHeight="1">
      <x:c r="A8" s="8" t="str">
        <x:v>Evidence handling</x:v>
      </x:c>
      <x:c r="B8" s="8" t="str">
        <x:v>Never include actual passwords, patient records or other sensitive data in a public GitHub portfolio.</x:v>
      </x:c>
    </x:row>
  </x:sheetData>
  <x:pageMargins left="0.7" right="0.7" top="0.75" bottom="0.75" header="0.3" footer="0.3"/>
</x:worksheet>
</file>