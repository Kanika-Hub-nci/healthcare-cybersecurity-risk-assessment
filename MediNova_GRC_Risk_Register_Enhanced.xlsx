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bdb7fa780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f579419478434970"/>
    <x:sheet xmlns:r="http://schemas.openxmlformats.org/officeDocument/2006/relationships" name="Read Me" sheetId="2" r:id="Rabd39ea0fc18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53B5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7b652900840a4" /><Relationship Type="http://schemas.openxmlformats.org/officeDocument/2006/relationships/theme" Target="/xl/theme/theme1.xml" Id="R020b22f474a94da3" /><Relationship Type="http://schemas.openxmlformats.org/officeDocument/2006/relationships/sharedStrings" Target="/xl/sharedStrings.xml" Id="R66f4ac87ae7941d7" /><Relationship Type="http://schemas.openxmlformats.org/officeDocument/2006/relationships/worksheet" Target="/xl/worksheets/sheet1.xml" Id="Rf579419478434970" /><Relationship Type="http://schemas.openxmlformats.org/officeDocument/2006/relationships/worksheet" Target="/xl/worksheets/sheet2.xml" Id="Rabd39ea0fc18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7" hidden="0" customWidth="1"/>
    <x:col min="4" max="4" width="31" hidden="0" customWidth="1"/>
    <x:col min="5" max="5" width="17" hidden="0" customWidth="1"/>
    <x:col min="6" max="6" width="16" hidden="0" customWidth="1"/>
    <x:col min="7" max="7" width="17" hidden="0" customWidth="1"/>
    <x:col min="8" max="8" width="14" hidden="0" customWidth="1"/>
    <x:col min="9" max="9" width="14" hidden="0" customWidth="1"/>
    <x:col min="10" max="10" width="45" hidden="0" customWidth="1"/>
    <x:col min="11" max="11" width="22" hidden="0" customWidth="1"/>
    <x:col min="12" max="12" width="13" hidden="0" customWidth="1"/>
    <x:col min="13" max="13" width="34" hidden="0" customWidth="1"/>
    <x:col min="14" max="14" width="19" hidden="0" customWidth="1"/>
    <x:col min="15" max="15" width="19" hidden="0" customWidth="1"/>
    <x:col min="16" max="16" width="18" hidden="0" customWidth="1"/>
    <x:col min="17" max="17" width="18" hidden="0" customWidth="1"/>
    <x:col min="18" max="18" width="25" hidden="0" customWidth="1"/>
    <x:col min="19" max="19" width="53" hidden="0" customWidth="1"/>
    <x:col min="20" max="20" width="57" hidden="0" customWidth="1"/>
  </x:cols>
  <x:sheetData>
    <x:row r="1" ht="40" customHeight="1">
      <x:c r="A1" s="4" t="str">
        <x:v>Risk ID</x:v>
      </x:c>
      <x:c r="B1" s="4" t="str">
        <x:v>Asset</x:v>
      </x:c>
      <x:c r="C1" s="4" t="str">
        <x:v>Risk scenario</x:v>
      </x:c>
      <x:c r="D1" s="4" t="str">
        <x:v>Threat / vulnerability</x:v>
      </x:c>
      <x:c r="E1" s="4" t="str">
        <x:v>Likelihood (1-5)</x:v>
      </x:c>
      <x:c r="F1" s="4" t="str">
        <x:v>Impact (1-5)</x:v>
      </x:c>
      <x:c r="G1" s="4" t="str">
        <x:v>Inherent score</x:v>
      </x:c>
      <x:c r="H1" s="4" t="str">
        <x:v>Rating</x:v>
      </x:c>
      <x:c r="I1" s="4" t="str">
        <x:v>Treatment</x:v>
      </x:c>
      <x:c r="J1" s="4" t="str">
        <x:v>Recommended controls</x:v>
      </x:c>
      <x:c r="K1" s="4" t="str">
        <x:v>Risk owner</x:v>
      </x:c>
      <x:c r="L1" s="4" t="str">
        <x:v>Status</x:v>
      </x:c>
      <x:c r="M1" s="4" t="str">
        <x:v>ISO 27001 control theme</x:v>
      </x:c>
      <x:c r="N1" s="18" t="str">
        <x:v>Projected residual likelihood (1-5)</x:v>
      </x:c>
      <x:c r="O1" s="18" t="str">
        <x:v>Projected residual impact (1-5)</x:v>
      </x:c>
      <x:c r="P1" s="18" t="str">
        <x:v>Projected residual score</x:v>
      </x:c>
      <x:c r="Q1" s="18" t="str">
        <x:v>Projected residual rating</x:v>
      </x:c>
      <x:c r="R1" s="18" t="str">
        <x:v>Control implementation status</x:v>
      </x:c>
      <x:c r="S1" s="18" t="str">
        <x:v>ISO/IEC 27001:2022 Annex A controls</x:v>
      </x:c>
      <x:c r="T1" s="18" t="str">
        <x:v>Control mapping rationale</x:v>
      </x:c>
    </x:row>
    <x:row r="2" ht="56" customHeight="1">
      <x:c r="A2" s="8" t="str">
        <x:v>R-001</x:v>
      </x:c>
      <x:c r="B2" s="8" t="str">
        <x:v>Patient records</x:v>
      </x:c>
      <x:c r="C2" s="8" t="str">
        <x:v>Staff access to records beyond job needs</x:v>
      </x:c>
      <x:c r="D2" s="8" t="str">
        <x:v>Excessive permissions</x:v>
      </x:c>
      <x:c r="E2" s="8" t="n">
        <x:v>4</x:v>
      </x:c>
      <x:c r="F2" s="8" t="n">
        <x:v>5</x:v>
      </x:c>
      <x:c r="G2" s="8" t="n">
        <x:f>E2*F2</x:f>
        <x:v>20</x:v>
      </x:c>
      <x:c r="H2" s="8" t="str">
        <x:f>IF(G2&gt;=20,"Critical",IF(G2&gt;=12,"High",IF(G2&gt;=6,"Medium","Low")))</x:f>
        <x:v>Critical</x:v>
      </x:c>
      <x:c r="I2" s="8" t="str">
        <x:v>Reduce</x:v>
      </x:c>
      <x:c r="J2" s="8" t="str">
        <x:v>Least privilege; RBAC; MFA; quarterly access reviews</x:v>
      </x:c>
      <x:c r="K2" s="8" t="str">
        <x:v>IT Security Manager</x:v>
      </x:c>
      <x:c r="L2" s="8" t="str">
        <x:v>Open</x:v>
      </x:c>
      <x:c r="M2" s="8" t="str">
        <x:v>Access control; identity management</x:v>
      </x:c>
      <x:c r="N2" s="8" t="n">
        <x:v>2</x:v>
      </x:c>
      <x:c r="O2" s="8" t="n">
        <x:v>5</x:v>
      </x:c>
      <x:c r="P2" s="8" t="n">
        <x:f>IF(OR(N2="",O2=""),"",N2*O2)</x:f>
        <x:v>10</x:v>
      </x:c>
      <x:c r="Q2" s="8" t="str">
        <x:f>IF(P2="","",IF(P2&gt;=20,"Critical",IF(P2&gt;=12,"High",IF(P2&gt;=6,"Medium","Low"))))</x:f>
        <x:v>Medium</x:v>
      </x:c>
      <x:c r="R2" s="8" t="str">
        <x:v>Proposed — not verified</x:v>
      </x:c>
      <x:c r="S2" s="8" t="str">
        <x:v>5.15 Access control; 5.16 Identity management; 5.18 Access rights</x:v>
      </x:c>
      <x:c r="T2" s="8" t="str">
        <x:v>Least privilege, RBAC, MFA and access reviews reduce inappropriate access</x:v>
      </x:c>
    </x:row>
    <x:row r="3" ht="56" customHeight="1">
      <x:c r="A3" s="8" t="str">
        <x:v>R-002</x:v>
      </x:c>
      <x:c r="B3" s="8" t="str">
        <x:v>Cloud storage</x:v>
      </x:c>
      <x:c r="C3" s="8" t="str">
        <x:v>Patient documents accidentally exposed publicly</x:v>
      </x:c>
      <x:c r="D3" s="8" t="str">
        <x:v>Misconfigured cloud storage</x:v>
      </x:c>
      <x:c r="E3" s="8" t="n">
        <x:v>3</x:v>
      </x:c>
      <x:c r="F3" s="8" t="n">
        <x:v>5</x:v>
      </x:c>
      <x:c r="G3" s="8" t="n">
        <x:f>E3*F3</x:f>
        <x:v>15</x:v>
      </x:c>
      <x:c r="H3" s="8" t="str">
        <x:f>IF(G3&gt;=20,"Critical",IF(G3&gt;=12,"High",IF(G3&gt;=6,"Medium","Low")))</x:f>
        <x:v>High</x:v>
      </x:c>
      <x:c r="I3" s="8" t="str">
        <x:v>Reduce</x:v>
      </x:c>
      <x:c r="J3" s="8" t="str">
        <x:v>Private-by-default storage; configuration review; logging</x:v>
      </x:c>
      <x:c r="K3" s="8" t="str">
        <x:v>Cloud Operations Lead</x:v>
      </x:c>
      <x:c r="L3" s="8" t="str">
        <x:v>Open</x:v>
      </x:c>
      <x:c r="M3" s="8" t="str">
        <x:v>Cloud service security; configuration management</x:v>
      </x:c>
      <x:c r="N3" s="8" t="n">
        <x:v>2</x:v>
      </x:c>
      <x:c r="O3" s="8" t="n">
        <x:v>5</x:v>
      </x:c>
      <x:c r="P3" s="8" t="n">
        <x:f>IF(OR(N3="",O3=""),"",N3*O3)</x:f>
        <x:v>10</x:v>
      </x:c>
      <x:c r="Q3" s="8" t="str">
        <x:f>IF(P3="","",IF(P3&gt;=20,"Critical",IF(P3&gt;=12,"High",IF(P3&gt;=6,"Medium","Low"))))</x:f>
        <x:v>Medium</x:v>
      </x:c>
      <x:c r="R3" s="8" t="str">
        <x:v>Proposed — not verified</x:v>
      </x:c>
      <x:c r="S3" s="8" t="str">
        <x:v>5.23 Information security for use of cloud services; 8.9 Configuration management</x:v>
      </x:c>
      <x:c r="T3" s="8" t="str">
        <x:v>Secure cloud configuration and periodic review reduce public exposure</x:v>
      </x:c>
    </x:row>
    <x:row r="4" ht="56" customHeight="1">
      <x:c r="A4" s="8" t="str">
        <x:v>R-003</x:v>
      </x:c>
      <x:c r="B4" s="8" t="str">
        <x:v>Clinical portal</x:v>
      </x:c>
      <x:c r="C4" s="8" t="str">
        <x:v>Patient service disrupted by ransomware</x:v>
      </x:c>
      <x:c r="D4" s="8" t="str">
        <x:v>Phishing and inadequate recovery safeguards</x:v>
      </x:c>
      <x:c r="E4" s="8" t="n">
        <x:v>3</x:v>
      </x:c>
      <x:c r="F4" s="8" t="n">
        <x:v>5</x:v>
      </x:c>
      <x:c r="G4" s="8" t="n">
        <x:f>E4*F4</x:f>
        <x:v>15</x:v>
      </x:c>
      <x:c r="H4" s="8" t="str">
        <x:f>IF(G4&gt;=20,"Critical",IF(G4&gt;=12,"High",IF(G4&gt;=6,"Medium","Low")))</x:f>
        <x:v>High</x:v>
      </x:c>
      <x:c r="I4" s="8" t="str">
        <x:v>Reduce</x:v>
      </x:c>
      <x:c r="J4" s="8" t="str">
        <x:v>Backups; restore tests; endpoint protection; phishing awareness</x:v>
      </x:c>
      <x:c r="K4" s="8" t="str">
        <x:v>IT Operations Lead</x:v>
      </x:c>
      <x:c r="L4" s="8" t="str">
        <x:v>Open</x:v>
      </x:c>
      <x:c r="M4" s="8" t="str">
        <x:v>Backup; malware protection; incident management</x:v>
      </x:c>
      <x:c r="N4" s="8" t="n">
        <x:v>2</x:v>
      </x:c>
      <x:c r="O4" s="8" t="n">
        <x:v>5</x:v>
      </x:c>
      <x:c r="P4" s="8" t="n">
        <x:f>IF(OR(N4="",O4=""),"",N4*O4)</x:f>
        <x:v>10</x:v>
      </x:c>
      <x:c r="Q4" s="8" t="str">
        <x:f>IF(P4="","",IF(P4&gt;=20,"Critical",IF(P4&gt;=12,"High",IF(P4&gt;=6,"Medium","Low"))))</x:f>
        <x:v>Medium</x:v>
      </x:c>
      <x:c r="R4" s="8" t="str">
        <x:v>Proposed — not verified</x:v>
      </x:c>
      <x:c r="S4" s="8" t="str">
        <x:v>8.13 Information backup; 5.30 ICT readiness for business continuity</x:v>
      </x:c>
      <x:c r="T4" s="8" t="str">
        <x:v>Backups and recovery exercises reduce disruption and support restoration</x:v>
      </x:c>
    </x:row>
    <x:row r="5" ht="56" customHeight="1">
      <x:c r="A5" s="8" t="str">
        <x:v>R-004</x:v>
      </x:c>
      <x:c r="B5" s="8" t="str">
        <x:v>Patient database</x:v>
      </x:c>
      <x:c r="C5" s="8" t="str">
        <x:v>Sensitive data lost during transmission</x:v>
      </x:c>
      <x:c r="D5" s="8" t="str">
        <x:v>Insecure API connection</x:v>
      </x:c>
      <x:c r="E5" s="8" t="n">
        <x:v>3</x:v>
      </x:c>
      <x:c r="F5" s="8" t="n">
        <x:v>5</x:v>
      </x:c>
      <x:c r="G5" s="8" t="n">
        <x:f>E5*F5</x:f>
        <x:v>15</x:v>
      </x:c>
      <x:c r="H5" s="8" t="str">
        <x:f>IF(G5&gt;=20,"Critical",IF(G5&gt;=12,"High",IF(G5&gt;=6,"Medium","Low")))</x:f>
        <x:v>High</x:v>
      </x:c>
      <x:c r="I5" s="8" t="str">
        <x:v>Reduce</x:v>
      </x:c>
      <x:c r="J5" s="8" t="str">
        <x:v>TLS; API authentication; access logging; security testing</x:v>
      </x:c>
      <x:c r="K5" s="8" t="str">
        <x:v>Application Security Lead</x:v>
      </x:c>
      <x:c r="L5" s="8" t="str">
        <x:v>Open</x:v>
      </x:c>
      <x:c r="M5" s="8" t="str">
        <x:v>Cryptography; secure development</x:v>
      </x:c>
      <x:c r="N5" s="8" t="n">
        <x:v>2</x:v>
      </x:c>
      <x:c r="O5" s="8" t="n">
        <x:v>5</x:v>
      </x:c>
      <x:c r="P5" s="8" t="n">
        <x:f>IF(OR(N5="",O5=""),"",N5*O5)</x:f>
        <x:v>10</x:v>
      </x:c>
      <x:c r="Q5" s="8" t="str">
        <x:f>IF(P5="","",IF(P5&gt;=20,"Critical",IF(P5&gt;=12,"High",IF(P5&gt;=6,"Medium","Low"))))</x:f>
        <x:v>Medium</x:v>
      </x:c>
      <x:c r="R5" s="8" t="str">
        <x:v>Proposed — not verified</x:v>
      </x:c>
      <x:c r="S5" s="8" t="str">
        <x:v>8.28 Secure coding; 8.8 Management of technical vulnerabilities</x:v>
      </x:c>
      <x:c r="T5" s="8" t="str">
        <x:v>API authentication, testing and remediation address application weaknesses</x:v>
      </x:c>
    </x:row>
    <x:row r="6" ht="56" customHeight="1">
      <x:c r="A6" s="8" t="str">
        <x:v>R-005</x:v>
      </x:c>
      <x:c r="B6" s="8" t="str">
        <x:v>Third-party OCR provider</x:v>
      </x:c>
      <x:c r="C6" s="8" t="str">
        <x:v>Vendor processes sensitive data without adequate safeguards</x:v>
      </x:c>
      <x:c r="D6" s="8" t="str">
        <x:v>Insufficient supplier due diligence</x:v>
      </x:c>
      <x:c r="E6" s="8" t="n">
        <x:v>3</x:v>
      </x:c>
      <x:c r="F6" s="8" t="n">
        <x:v>4</x:v>
      </x:c>
      <x:c r="G6" s="8" t="n">
        <x:f>E6*F6</x:f>
        <x:v>12</x:v>
      </x:c>
      <x:c r="H6" s="8" t="str">
        <x:f>IF(G6&gt;=20,"Critical",IF(G6&gt;=12,"High",IF(G6&gt;=6,"Medium","Low")))</x:f>
        <x:v>High</x:v>
      </x:c>
      <x:c r="I6" s="8" t="str">
        <x:v>Reduce</x:v>
      </x:c>
      <x:c r="J6" s="8" t="str">
        <x:v>Supplier assessment; contract clauses; data minimisation</x:v>
      </x:c>
      <x:c r="K6" s="8" t="str">
        <x:v>Vendor Risk Owner</x:v>
      </x:c>
      <x:c r="L6" s="8" t="str">
        <x:v>Open</x:v>
      </x:c>
      <x:c r="M6" s="8" t="str">
        <x:v>Supplier relationship security</x:v>
      </x:c>
      <x:c r="N6" s="8" t="n">
        <x:v>2</x:v>
      </x:c>
      <x:c r="O6" s="8" t="n">
        <x:v>4</x:v>
      </x:c>
      <x:c r="P6" s="8" t="n">
        <x:f>IF(OR(N6="",O6=""),"",N6*O6)</x:f>
        <x:v>8</x:v>
      </x:c>
      <x:c r="Q6" s="8" t="str">
        <x:f>IF(P6="","",IF(P6&gt;=20,"Critical",IF(P6&gt;=12,"High",IF(P6&gt;=6,"Medium","Low"))))</x:f>
        <x:v>Medium</x:v>
      </x:c>
      <x:c r="R6" s="8" t="str">
        <x:v>Proposed — not verified</x:v>
      </x:c>
      <x:c r="S6" s="8" t="str">
        <x:v>5.19 Information security in supplier relationships; 5.20 Addressing information security within supplier agreements</x:v>
      </x:c>
      <x:c r="T6" s="8" t="str">
        <x:v>Supplier assessments and contractual controls address third-party risks</x:v>
      </x:c>
    </x:row>
    <x:row r="7" ht="56" customHeight="1">
      <x:c r="A7" s="8" t="str">
        <x:v>R-006</x:v>
      </x:c>
      <x:c r="B7" s="8" t="str">
        <x:v>Employee accounts</x:v>
      </x:c>
      <x:c r="C7" s="8" t="str">
        <x:v>Former employee retains system access</x:v>
      </x:c>
      <x:c r="D7" s="8" t="str">
        <x:v>Delayed account deprovisioning</x:v>
      </x:c>
      <x:c r="E7" s="8" t="n">
        <x:v>4</x:v>
      </x:c>
      <x:c r="F7" s="8" t="n">
        <x:v>4</x:v>
      </x:c>
      <x:c r="G7" s="8" t="n">
        <x:f>E7*F7</x:f>
        <x:v>16</x:v>
      </x:c>
      <x:c r="H7" s="8" t="str">
        <x:f>IF(G7&gt;=20,"Critical",IF(G7&gt;=12,"High",IF(G7&gt;=6,"Medium","Low")))</x:f>
        <x:v>High</x:v>
      </x:c>
      <x:c r="I7" s="8" t="str">
        <x:v>Reduce</x:v>
      </x:c>
      <x:c r="J7" s="8" t="str">
        <x:v>Joiner-mover-leaver workflow; access recertification</x:v>
      </x:c>
      <x:c r="K7" s="8" t="str">
        <x:v>IAM Lead</x:v>
      </x:c>
      <x:c r="L7" s="8" t="str">
        <x:v>Open</x:v>
      </x:c>
      <x:c r="M7" s="8" t="str">
        <x:v>Identity management; access rights</x:v>
      </x:c>
      <x:c r="N7" s="8" t="n">
        <x:v>2</x:v>
      </x:c>
      <x:c r="O7" s="8" t="n">
        <x:v>4</x:v>
      </x:c>
      <x:c r="P7" s="8" t="n">
        <x:f>IF(OR(N7="",O7=""),"",N7*O7)</x:f>
        <x:v>8</x:v>
      </x:c>
      <x:c r="Q7" s="8" t="str">
        <x:f>IF(P7="","",IF(P7&gt;=20,"Critical",IF(P7&gt;=12,"High",IF(P7&gt;=6,"Medium","Low"))))</x:f>
        <x:v>Medium</x:v>
      </x:c>
      <x:c r="R7" s="8" t="str">
        <x:v>Proposed — not verified</x:v>
      </x:c>
      <x:c r="S7" s="8" t="str">
        <x:v>5.16 Identity management; 5.18 Access rights</x:v>
      </x:c>
      <x:c r="T7" s="8" t="str">
        <x:v>Joiner-mover-leaver and access reviews reduce retained permissions</x:v>
      </x:c>
    </x:row>
  </x:sheetData>
  <x:conditionalFormatting sqref="G2:G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P2:P7">
    <x:cfRule type="colorScale" priority="2">
      <x:colorScale>
        <x:cfvo type="min"/>
        <x:cfvo type="percentile" val="50"/>
        <x:cfvo type="max"/>
        <x:color rgb="FFD9F3E8"/>
        <x:color rgb="FFFFF0C2"/>
        <x:color rgb="FFF8D7DA"/>
      </x:colorScale>
    </x:cfRule>
  </x:conditionalFormatting>
  <x:dataValidations count="2">
    <x:dataValidation type="list" sqref="L2:L30">
      <x:formula1>"Open,In progress,Mitigated,Accepted,Closed"</x:formula1>
    </x:dataValidation>
    <x:dataValidation type="list" sqref="E2:F30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36" customHeight="1">
      <x:c r="A1" s="3" t="str">
        <x:v>MEDINOVA — SIMULATED GRC RISK ASSESSMENT</x:v>
      </x:c>
      <x:c r="B1" s="3" t="str"/>
    </x:row>
    <x:row r="3" ht="44" customHeight="1">
      <x:c r="A3" s="14" t="str">
        <x:v>Purpose</x:v>
      </x:c>
      <x:c r="B3" s="8" t="str">
        <x:v>Educational portfolio case study using a fictional healthcare organisation. Not a real audit.</x:v>
      </x:c>
    </x:row>
    <x:row r="4" ht="44" customHeight="1">
      <x:c r="A4" s="14" t="str">
        <x:v>1. Review</x:v>
      </x:c>
      <x:c r="B4" s="8" t="str">
        <x:v>Open Risk Register and read each threat, vulnerability and asset.</x:v>
      </x:c>
    </x:row>
    <x:row r="5" ht="44" customHeight="1">
      <x:c r="A5" s="14" t="str">
        <x:v>2. Score</x:v>
      </x:c>
      <x:c r="B5" s="8" t="str">
        <x:v>Likelihood and Impact are illustrative assumptions on a 1–5 scale.</x:v>
      </x:c>
    </x:row>
    <x:row r="6" ht="44" customHeight="1">
      <x:c r="A6" s="14" t="str">
        <x:v>3. Calculate</x:v>
      </x:c>
      <x:c r="B6" s="8" t="str">
        <x:v>Inherent score = Likelihood × Impact; ratings are Low 1–5, Medium 6–11, High 12–19, Critical 20–25.</x:v>
      </x:c>
    </x:row>
    <x:row r="7" ht="44" customHeight="1">
      <x:c r="A7" s="14" t="str">
        <x:v>4. Treat</x:v>
      </x:c>
      <x:c r="B7" s="8" t="str">
        <x:v>Recommended controls are proposals, not verified implementations.</x:v>
      </x:c>
    </x:row>
    <x:row r="8" ht="44" customHeight="1">
      <x:c r="A8" s="14" t="str">
        <x:v>5. Improve</x:v>
      </x:c>
      <x:c r="B8" s="8" t="str">
        <x:v>Replace example scores with justified assumptions; add evidence, control owners and residual risk in later lessons.</x:v>
      </x:c>
    </x:row>
    <x:row r="9" ht="44" customHeight="1">
      <x:c r="A9" s="14" t="str">
        <x:v>ISO mapping</x:v>
      </x:c>
      <x:c r="B9" s="8" t="str">
        <x:v>Control themes are broad learning prompts, not a formal clause-by-clause ISO/IEC 27001 assessment.</x:v>
      </x:c>
    </x:row>
    <x:row r="10" ht="44" customHeight="1">
      <x:c r="A10" s="14" t="str">
        <x:v>Public sharing</x:v>
      </x:c>
      <x:c r="B10" s="8" t="str">
        <x:v>Do not upload patient data, passwords, real company security weaknesses or confidential documents.</x:v>
      </x:c>
    </x:row>
    <x:row r="12">
      <x:c r="A12" s="8" t="str">
        <x:v>Residual risk extension</x:v>
      </x:c>
      <x:c r="B12" s="8" t="str">
        <x:v>New columns N–T demonstrate projected residual risk and Annex A mappings.</x:v>
      </x:c>
    </x:row>
    <x:row r="13">
      <x:c r="A13" s="8" t="str">
        <x:v>Projected vs actual</x:v>
      </x:c>
      <x:c r="B13" s="8" t="str">
        <x:v>Residual values are hypothetical forecasts; controls are not verified or implemented.</x:v>
      </x:c>
    </x:row>
    <x:row r="14">
      <x:c r="A14" s="8" t="str">
        <x:v>Formula</x:v>
      </x:c>
      <x:c r="B14" s="8" t="str">
        <x:v>Projected residual score = projected residual likelihood × projected residual impact.</x:v>
      </x:c>
    </x:row>
    <x:row r="15">
      <x:c r="A15" s="8" t="str">
        <x:v>Thresholds</x:v>
      </x:c>
      <x:c r="B15" s="8" t="str">
        <x:v>1–5 Low; 6–11 Medium; 12–19 High; 20–25 Critical (project-specific).</x:v>
      </x:c>
    </x:row>
    <x:row r="16">
      <x:c r="A16" s="8" t="str">
        <x:v>Control mapping</x:v>
      </x:c>
      <x:c r="B16" s="8" t="str">
        <x:v>Annex A references are selected examples from ISO/IEC 27001:2022; not a certification or full SoA.</x:v>
      </x:c>
    </x:row>
    <x:row r="17">
      <x:c r="A17" s="8" t="str">
        <x:v>Next task</x:v>
      </x:c>
      <x:c r="B17" s="8" t="str">
        <x:v>Review evidence, control effectiveness, risk acceptance and actual residual scores.</x:v>
      </x:c>
    </x:row>
  </x:sheetData>
  <x:mergeCells>
    <x:mergeCell ref="A1:B1"/>
  </x:mergeCells>
  <x:pageMargins left="0.7" right="0.7" top="0.75" bottom="0.75" header="0.3" footer="0.3"/>
</x:worksheet>
</file>