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kanikajaiswal/Desktop/"/>
    </mc:Choice>
  </mc:AlternateContent>
  <xr:revisionPtr revIDLastSave="0" documentId="8_{3CD01A33-20DC-5343-80F4-38E61C682024}" xr6:coauthVersionLast="47" xr6:coauthVersionMax="47" xr10:uidLastSave="{00000000-0000-0000-0000-000000000000}"/>
  <bookViews>
    <workbookView xWindow="0" yWindow="660" windowWidth="29400" windowHeight="17380" xr2:uid="{00000000-000D-0000-FFFF-FFFF00000000}"/>
  </bookViews>
  <sheets>
    <sheet name="Risk Register" sheetId="1" r:id="rId1"/>
    <sheet name="Read M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H7" i="1" s="1"/>
  <c r="G6" i="1"/>
  <c r="H6" i="1" s="1"/>
  <c r="G5" i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<sst xmlns="http://schemas.openxmlformats.org/spreadsheetml/2006/main" count="84" uniqueCount="74">
  <si>
    <t>Risk ID</t>
  </si>
  <si>
    <t>Asset</t>
  </si>
  <si>
    <t>Risk scenario</t>
  </si>
  <si>
    <t>Threat / vulnerability</t>
  </si>
  <si>
    <t>Likelihood (1-5)</t>
  </si>
  <si>
    <t>Impact (1-5)</t>
  </si>
  <si>
    <t>Inherent score</t>
  </si>
  <si>
    <t>Rating</t>
  </si>
  <si>
    <t>Treatment</t>
  </si>
  <si>
    <t>Recommended controls</t>
  </si>
  <si>
    <t>Risk owner</t>
  </si>
  <si>
    <t>Status</t>
  </si>
  <si>
    <t>ISO 27001 control theme</t>
  </si>
  <si>
    <t>R-001</t>
  </si>
  <si>
    <t>Patient records</t>
  </si>
  <si>
    <t>Staff access to records beyond job needs</t>
  </si>
  <si>
    <t>Excessive permissions</t>
  </si>
  <si>
    <t>Reduce</t>
  </si>
  <si>
    <t>Least privilege; RBAC; MFA; quarterly access reviews</t>
  </si>
  <si>
    <t>IT Security Manager</t>
  </si>
  <si>
    <t>Open</t>
  </si>
  <si>
    <t>Access control; identity management</t>
  </si>
  <si>
    <t>R-002</t>
  </si>
  <si>
    <t>Cloud storage</t>
  </si>
  <si>
    <t>Patient documents accidentally exposed publicly</t>
  </si>
  <si>
    <t>Misconfigured cloud storage</t>
  </si>
  <si>
    <t>Private-by-default storage; configuration review; logging</t>
  </si>
  <si>
    <t>Cloud Operations Lead</t>
  </si>
  <si>
    <t>Cloud service security; configuration management</t>
  </si>
  <si>
    <t>R-003</t>
  </si>
  <si>
    <t>Clinical portal</t>
  </si>
  <si>
    <t>Patient service disrupted by ransomware</t>
  </si>
  <si>
    <t>Phishing and inadequate recovery safeguards</t>
  </si>
  <si>
    <t>Backups; restore tests; endpoint protection; phishing awareness</t>
  </si>
  <si>
    <t>IT Operations Lead</t>
  </si>
  <si>
    <t>Backup; malware protection; incident management</t>
  </si>
  <si>
    <t>R-004</t>
  </si>
  <si>
    <t>Patient database</t>
  </si>
  <si>
    <t>Sensitive data lost during transmission</t>
  </si>
  <si>
    <t>Insecure API connection</t>
  </si>
  <si>
    <t>TLS; API authentication; access logging; security testing</t>
  </si>
  <si>
    <t>Application Security Lead</t>
  </si>
  <si>
    <t>Cryptography; secure development</t>
  </si>
  <si>
    <t>R-005</t>
  </si>
  <si>
    <t>Third-party OCR provider</t>
  </si>
  <si>
    <t>Vendor processes sensitive data without adequate safeguards</t>
  </si>
  <si>
    <t>Insufficient supplier due diligence</t>
  </si>
  <si>
    <t>Supplier assessment; contract clauses; data minimisation</t>
  </si>
  <si>
    <t>Vendor Risk Owner</t>
  </si>
  <si>
    <t>Supplier relationship security</t>
  </si>
  <si>
    <t>R-006</t>
  </si>
  <si>
    <t>Employee accounts</t>
  </si>
  <si>
    <t>Former employee retains system access</t>
  </si>
  <si>
    <t>Delayed account deprovisioning</t>
  </si>
  <si>
    <t>Joiner-mover-leaver workflow; access recertification</t>
  </si>
  <si>
    <t>IAM Lead</t>
  </si>
  <si>
    <t>Identity management; access rights</t>
  </si>
  <si>
    <t>MEDINOVA — SIMULATED GRC RISK ASSESSMENT</t>
  </si>
  <si>
    <t>Purpose</t>
  </si>
  <si>
    <t>Educational portfolio case study using a fictional healthcare organisation. Not a real audit.</t>
  </si>
  <si>
    <t>1. Review</t>
  </si>
  <si>
    <t>Open Risk Register and read each threat, vulnerability and asset.</t>
  </si>
  <si>
    <t>2. Score</t>
  </si>
  <si>
    <t>Likelihood and Impact are illustrative assumptions on a 1–5 scale.</t>
  </si>
  <si>
    <t>3. Calculate</t>
  </si>
  <si>
    <t>Inherent score = Likelihood × Impact; ratings are Low 1–5, Medium 6–11, High 12–19, Critical 20–25.</t>
  </si>
  <si>
    <t>4. Treat</t>
  </si>
  <si>
    <t>Recommended controls are proposals, not verified implementations.</t>
  </si>
  <si>
    <t>5. Improve</t>
  </si>
  <si>
    <t>Replace example scores with justified assumptions; add evidence, control owners and residual risk in later lessons.</t>
  </si>
  <si>
    <t>ISO mapping</t>
  </si>
  <si>
    <t>Control themes are broad learning prompts, not a formal clause-by-clause ISO/IEC 27001 assessment.</t>
  </si>
  <si>
    <t>Public sharing</t>
  </si>
  <si>
    <t>Do not upload patient data, passwords, real company security weaknesses or confidential documents.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</si>
</sst>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4"/>
  <cols>
    <col min="1" max="1" width="12" customWidth="1"/>
    <col min="2" max="2" width="21" customWidth="1"/>
    <col min="3" max="3" width="37" customWidth="1"/>
    <col min="4" max="4" width="31" customWidth="1"/>
    <col min="5" max="5" width="17" customWidth="1"/>
    <col min="6" max="6" width="16" customWidth="1"/>
    <col min="7" max="7" width="17" customWidth="1"/>
    <col min="8" max="9" width="14" customWidth="1"/>
    <col min="10" max="10" width="45" customWidth="1"/>
    <col min="11" max="11" width="22" customWidth="1"/>
    <col min="12" max="12" width="13" customWidth="1"/>
    <col min="13" max="13" width="34" customWidth="1"/>
  </cols>
  <sheetData>
    <row r="1" spans="1:13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6" customHeight="1">
      <c r="A2" s="2" t="s">
        <v>13</v>
      </c>
      <c r="B2" s="2" t="s">
        <v>14</v>
      </c>
      <c r="C2" s="2" t="s">
        <v>15</v>
      </c>
      <c r="D2" s="2" t="s">
        <v>16</v>
      </c>
      <c r="E2" s="2">
        <v>4</v>
      </c>
      <c r="F2" s="2">
        <v>5</v>
      </c>
      <c r="G2" s="2">
        <f t="shared" ref="G2:G7" si="0">E2*F2</f>
        <v>20</v>
      </c>
      <c r="H2" s="2" t="str">
        <f t="shared" ref="H2:H7" si="1">IF(G2&gt;=20,"Critical",IF(G2&gt;=12,"High",IF(G2&gt;=6,"Medium","Low")))</f>
        <v>Critical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</row>
    <row r="3" spans="1:13" ht="56" customHeight="1">
      <c r="A3" s="2" t="s">
        <v>22</v>
      </c>
      <c r="B3" s="2" t="s">
        <v>23</v>
      </c>
      <c r="C3" s="2" t="s">
        <v>24</v>
      </c>
      <c r="D3" s="2" t="s">
        <v>25</v>
      </c>
      <c r="E3" s="2">
        <v>3</v>
      </c>
      <c r="F3" s="2">
        <v>5</v>
      </c>
      <c r="G3" s="2">
        <f t="shared" si="0"/>
        <v>15</v>
      </c>
      <c r="H3" s="2" t="str">
        <f t="shared" si="1"/>
        <v>High</v>
      </c>
      <c r="I3" s="2" t="s">
        <v>17</v>
      </c>
      <c r="J3" s="2" t="s">
        <v>26</v>
      </c>
      <c r="K3" s="2" t="s">
        <v>27</v>
      </c>
      <c r="L3" s="2" t="s">
        <v>20</v>
      </c>
      <c r="M3" s="2" t="s">
        <v>28</v>
      </c>
    </row>
    <row r="4" spans="1:13" ht="56" customHeight="1">
      <c r="A4" s="2" t="s">
        <v>29</v>
      </c>
      <c r="B4" s="2" t="s">
        <v>30</v>
      </c>
      <c r="C4" s="2" t="s">
        <v>31</v>
      </c>
      <c r="D4" s="2" t="s">
        <v>32</v>
      </c>
      <c r="E4" s="2">
        <v>3</v>
      </c>
      <c r="F4" s="2">
        <v>5</v>
      </c>
      <c r="G4" s="2">
        <f t="shared" si="0"/>
        <v>15</v>
      </c>
      <c r="H4" s="2" t="str">
        <f t="shared" si="1"/>
        <v>High</v>
      </c>
      <c r="I4" s="2" t="s">
        <v>17</v>
      </c>
      <c r="J4" s="2" t="s">
        <v>33</v>
      </c>
      <c r="K4" s="2" t="s">
        <v>34</v>
      </c>
      <c r="L4" s="2" t="s">
        <v>20</v>
      </c>
      <c r="M4" s="2" t="s">
        <v>35</v>
      </c>
    </row>
    <row r="5" spans="1:13" ht="56" customHeight="1">
      <c r="A5" s="2" t="s">
        <v>36</v>
      </c>
      <c r="B5" s="2" t="s">
        <v>37</v>
      </c>
      <c r="C5" s="2" t="s">
        <v>38</v>
      </c>
      <c r="D5" s="2" t="s">
        <v>39</v>
      </c>
      <c r="E5" s="2">
        <v>3</v>
      </c>
      <c r="F5" s="2">
        <v>5</v>
      </c>
      <c r="G5" s="2">
        <f t="shared" si="0"/>
        <v>15</v>
      </c>
      <c r="H5" s="2" t="str">
        <f t="shared" si="1"/>
        <v>High</v>
      </c>
      <c r="I5" s="2" t="s">
        <v>17</v>
      </c>
      <c r="J5" s="2" t="s">
        <v>40</v>
      </c>
      <c r="K5" s="2" t="s">
        <v>41</v>
      </c>
      <c r="L5" s="2" t="s">
        <v>20</v>
      </c>
      <c r="M5" s="2" t="s">
        <v>42</v>
      </c>
    </row>
    <row r="6" spans="1:13" ht="56" customHeight="1">
      <c r="A6" s="2" t="s">
        <v>43</v>
      </c>
      <c r="B6" s="2" t="s">
        <v>44</v>
      </c>
      <c r="C6" s="2" t="s">
        <v>45</v>
      </c>
      <c r="D6" s="2" t="s">
        <v>46</v>
      </c>
      <c r="E6" s="2">
        <v>3</v>
      </c>
      <c r="F6" s="2">
        <v>4</v>
      </c>
      <c r="G6" s="2">
        <f t="shared" si="0"/>
        <v>12</v>
      </c>
      <c r="H6" s="2" t="str">
        <f t="shared" si="1"/>
        <v>High</v>
      </c>
      <c r="I6" s="2" t="s">
        <v>17</v>
      </c>
      <c r="J6" s="2" t="s">
        <v>47</v>
      </c>
      <c r="K6" s="2" t="s">
        <v>48</v>
      </c>
      <c r="L6" s="2" t="s">
        <v>20</v>
      </c>
      <c r="M6" s="2" t="s">
        <v>49</v>
      </c>
    </row>
    <row r="7" spans="1:13" ht="56" customHeight="1">
      <c r="A7" s="2" t="s">
        <v>50</v>
      </c>
      <c r="B7" s="2" t="s">
        <v>51</v>
      </c>
      <c r="C7" s="2" t="s">
        <v>52</v>
      </c>
      <c r="D7" s="2" t="s">
        <v>53</v>
      </c>
      <c r="E7" s="2">
        <v>4</v>
      </c>
      <c r="F7" s="2">
        <v>4</v>
      </c>
      <c r="G7" s="2">
        <f t="shared" si="0"/>
        <v>16</v>
      </c>
      <c r="H7" s="2" t="str">
        <f t="shared" si="1"/>
        <v>High</v>
      </c>
      <c r="I7" s="2" t="s">
        <v>17</v>
      </c>
      <c r="J7" s="2" t="s">
        <v>54</v>
      </c>
      <c r="K7" s="2" t="s">
        <v>55</v>
      </c>
      <c r="L7" s="2" t="s">
        <v>20</v>
      </c>
      <c r="M7" s="2" t="s">
        <v>56</v>
      </c>
    </row>
  </sheetData>
  <conditionalFormatting sqref="G2:G7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2">
    <dataValidation type="list" sqref="L2:L30" xr:uid="{00000000-0002-0000-0000-000000000000}">
      <formula1>"Open,In progress,Mitigated,Accepted,Closed"</formula1>
    </dataValidation>
    <dataValidation type="list" sqref="E2:F30" xr:uid="{00000000-0002-0000-0000-000001000000}">
      <formula1>"1,2,3,4,5"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83203125" defaultRowHeight="14"/>
  <cols>
    <col min="1" max="1" width="22" customWidth="1"/>
    <col min="2" max="2" width="100" customWidth="1"/>
  </cols>
  <sheetData>
    <row r="1" spans="1:2" ht="48" customHeight="1">
      <c r="A1" s="4" t="s">
        <v>57</v>
      </c>
      <c r="B1" s="4"/>
    </row>
    <row r="3" spans="1:2" ht="58.75" customHeight="1">
      <c r="A3" s="3" t="s">
        <v>58</v>
      </c>
      <c r="B3" s="2" t="s">
        <v>59</v>
      </c>
    </row>
    <row r="4" spans="1:2" ht="58.75" customHeight="1">
      <c r="A4" s="3" t="s">
        <v>60</v>
      </c>
      <c r="B4" s="2" t="s">
        <v>61</v>
      </c>
    </row>
    <row r="5" spans="1:2" ht="58.75" customHeight="1">
      <c r="A5" s="3" t="s">
        <v>62</v>
      </c>
      <c r="B5" s="2" t="s">
        <v>63</v>
      </c>
    </row>
    <row r="6" spans="1:2" ht="58.75" customHeight="1">
      <c r="A6" s="3" t="s">
        <v>64</v>
      </c>
      <c r="B6" s="2" t="s">
        <v>65</v>
      </c>
    </row>
    <row r="7" spans="1:2" ht="58.75" customHeight="1">
      <c r="A7" s="3" t="s">
        <v>66</v>
      </c>
      <c r="B7" s="2" t="s">
        <v>67</v>
      </c>
    </row>
    <row r="8" spans="1:2" ht="58.75" customHeight="1">
      <c r="A8" s="3" t="s">
        <v>68</v>
      </c>
      <c r="B8" s="2" t="s">
        <v>69</v>
      </c>
    </row>
    <row r="9" spans="1:2" ht="58.75" customHeight="1">
      <c r="A9" s="3" t="s">
        <v>70</v>
      </c>
      <c r="B9" s="2" t="s">
        <v>71</v>
      </c>
    </row>
    <row r="10" spans="1:2" ht="58.75" customHeight="1">
      <c r="A10" s="3" t="s">
        <v>72</v>
      </c>
      <c r="B10" s="2" t="s">
        <v>73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Kanika Jaiswal</cp:lastModifiedBy>
  <dcterms:created xsi:type="dcterms:W3CDTF">2026-10-09T19:03:15Z</dcterms:created>
  <dcterms:modified xsi:type="dcterms:W3CDTF">2026-10-09T19:03:15Z</dcterms:modified>
</cp:coreProperties>
</file>