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1a6c5de24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ption Register" sheetId="1" r:id="R8d40cd24dbe24791"/>
    <x:sheet xmlns:r="http://schemas.openxmlformats.org/officeDocument/2006/relationships" name="Dashboard" sheetId="2" r:id="R587d5911818b442e"/>
    <x:sheet xmlns:r="http://schemas.openxmlformats.org/officeDocument/2006/relationships" name="Instructions" sheetId="3" r:id="Rf67a288b948b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D56"/>
      </x:patternFill>
    </x:fill>
    <x:fill>
      <x:patternFill patternType="solid">
        <x:fgColor rgb="FF26627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24de8e98a445f" /><Relationship Type="http://schemas.openxmlformats.org/officeDocument/2006/relationships/theme" Target="/xl/theme/theme1.xml" Id="R965b56928e974866" /><Relationship Type="http://schemas.openxmlformats.org/officeDocument/2006/relationships/sharedStrings" Target="/xl/sharedStrings.xml" Id="R365ee453b2344508" /><Relationship Type="http://schemas.openxmlformats.org/officeDocument/2006/relationships/worksheet" Target="/xl/worksheets/sheet1.xml" Id="R8d40cd24dbe24791" /><Relationship Type="http://schemas.openxmlformats.org/officeDocument/2006/relationships/worksheet" Target="/xl/worksheets/sheet2.xml" Id="R587d5911818b442e" /><Relationship Type="http://schemas.openxmlformats.org/officeDocument/2006/relationships/worksheet" Target="/xl/worksheets/sheet3.xml" Id="Rf67a288b948b49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38" hidden="0" customWidth="1"/>
    <x:col min="4" max="4" width="16" hidden="0" customWidth="1"/>
    <x:col min="5" max="5" width="15" hidden="0" customWidth="1"/>
    <x:col min="6" max="6" width="44" hidden="0" customWidth="1"/>
    <x:col min="7" max="7" width="25" hidden="0" customWidth="1"/>
    <x:col min="8" max="8" width="17" hidden="0" customWidth="1"/>
    <x:col min="9" max="9" width="22" hidden="0" customWidth="1"/>
    <x:col min="10" max="10" width="17" hidden="0" customWidth="1"/>
    <x:col min="11" max="11" width="17" hidden="0" customWidth="1"/>
    <x:col min="12" max="12" width="49" hidden="0" customWidth="1"/>
    <x:col min="13" max="13" width="37" hidden="0" customWidth="1"/>
    <x:col min="14" max="14" width="18" hidden="0" customWidth="1"/>
    <x:col min="15" max="15" width="22" hidden="0" customWidth="1"/>
    <x:col min="16" max="16" width="48" hidden="0" customWidth="1"/>
    <x:col min="17" max="17" width="48" hidden="0" customWidth="1"/>
  </x:cols>
  <x:sheetData>
    <x:row r="1" ht="40" customHeight="1">
      <x:c r="A1" s="5" t="str">
        <x:v>Exception ID</x:v>
      </x:c>
      <x:c r="B1" s="5" t="str">
        <x:v>Related Finding</x:v>
      </x:c>
      <x:c r="C1" s="5" t="str">
        <x:v>Exception Description</x:v>
      </x:c>
      <x:c r="D1" s="5" t="str">
        <x:v>ISO Control</x:v>
      </x:c>
      <x:c r="E1" s="5" t="str">
        <x:v>Risk Rating</x:v>
      </x:c>
      <x:c r="F1" s="5" t="str">
        <x:v>Business Justification</x:v>
      </x:c>
      <x:c r="G1" s="5" t="str">
        <x:v>Risk Owner (Proposed)</x:v>
      </x:c>
      <x:c r="H1" s="5" t="str">
        <x:v>Request Date</x:v>
      </x:c>
      <x:c r="I1" s="5" t="str">
        <x:v>Approval Status</x:v>
      </x:c>
      <x:c r="J1" s="5" t="str">
        <x:v>Approval Date</x:v>
      </x:c>
      <x:c r="K1" s="5" t="str">
        <x:v>Expiry Date</x:v>
      </x:c>
      <x:c r="L1" s="5" t="str">
        <x:v>Compensating Controls (Proposed)</x:v>
      </x:c>
      <x:c r="M1" s="5" t="str">
        <x:v>Evidence / Reference</x:v>
      </x:c>
      <x:c r="N1" s="5" t="str">
        <x:v>Next Review Date</x:v>
      </x:c>
      <x:c r="O1" s="5" t="str">
        <x:v>Monitoring Status</x:v>
      </x:c>
      <x:c r="P1" s="5" t="str">
        <x:v>Decision / Action</x:v>
      </x:c>
      <x:c r="Q1" s="5" t="str">
        <x:v>Notes</x:v>
      </x:c>
    </x:row>
    <x:row r="2" ht="85" customHeight="1">
      <x:c r="A2" s="10" t="str">
        <x:v>EXC-001</x:v>
      </x:c>
      <x:c r="B2" s="10" t="str">
        <x:v>GAP-002</x:v>
      </x:c>
      <x:c r="C2" s="10" t="str">
        <x:v>Emergency administrator account does not use standard MFA</x:v>
      </x:c>
      <x:c r="D2" s="10" t="str">
        <x:v>A.8.5</x:v>
      </x:c>
      <x:c r="E2" s="10" t="str">
        <x:v>High</x:v>
      </x:c>
      <x:c r="F2" s="10" t="str">
        <x:v>Emergency access when normal authentication services are unavailable (unverified justification)</x:v>
      </x:c>
      <x:c r="G2" s="10" t="str">
        <x:v>Head of IT Security</x:v>
      </x:c>
      <x:c r="H2" s="12" t="n">
        <x:v>46310</x:v>
      </x:c>
      <x:c r="I2" s="10" t="str">
        <x:v>Pending Approval</x:v>
      </x:c>
      <x:c r="J2" s="12"/>
      <x:c r="K2" s="12"/>
      <x:c r="L2" s="10" t="str">
        <x:v>Restrict access; protect credentials; alert on sign-in; review activity after use; periodic access testing</x:v>
      </x:c>
      <x:c r="M2" s="10" t="str">
        <x:v>None provided — fictional scenario</x:v>
      </x:c>
      <x:c r="N2" s="12"/>
      <x:c r="O2" s="10" t="str">
        <x:f>IF(I2="Rejected","Rejected",IF(I2="Pending Approval","Awaiting Approval",IF(K2="","Missing Expiry",IF(K2&lt;TODAY(),"Expired",IF(K2&lt;=TODAY()+30,"Review Due Soon","Active")))))</x:f>
        <x:v>Awaiting Approval</x:v>
      </x:c>
      <x:c r="P2" s="10" t="str">
        <x:v>Review justification, assess residual risk and compensating controls; seek authorised decision</x:v>
      </x:c>
      <x:c r="Q2" s="10" t="str">
        <x:v>Educational scenario only. No approval or implemented control is asserted.</x:v>
      </x:c>
    </x:row>
    <x:row r="3">
      <x:c r="H3" s="13"/>
      <x:c r="J3" s="13"/>
      <x:c r="K3" s="13"/>
      <x:c r="N3" s="13"/>
      <x:c r="O3" t="e">
        <x:f>IF(A3="","",IF(I3="Rejected","Rejected",IF(I3="Pending Approval","Awaiting Approval",IF(K3="","Missing Expiry",IF(K3&lt;TODAY(),"Expired",IF(K3&lt;=TODAY()+30,"Review Due Soon","Active")))))))</x:f>
        <x:v>#NAME?</x:v>
      </x:c>
    </x:row>
    <x:row r="4">
      <x:c r="H4" s="13"/>
      <x:c r="J4" s="13"/>
      <x:c r="K4" s="13"/>
      <x:c r="N4" s="13"/>
      <x:c r="O4" t="e">
        <x:f>IF(A4="","",IF(I4="Rejected","Rejected",IF(I4="Pending Approval","Awaiting Approval",IF(K4="","Missing Expiry",IF(K4&lt;TODAY(),"Expired",IF(K4&lt;=TODAY()+30,"Review Due Soon","Active")))))))</x:f>
        <x:v>#NAME?</x:v>
      </x:c>
    </x:row>
    <x:row r="5">
      <x:c r="H5" s="13"/>
      <x:c r="J5" s="13"/>
      <x:c r="K5" s="13"/>
      <x:c r="N5" s="13"/>
      <x:c r="O5" t="e">
        <x:f>IF(A5="","",IF(I5="Rejected","Rejected",IF(I5="Pending Approval","Awaiting Approval",IF(K5="","Missing Expiry",IF(K5&lt;TODAY(),"Expired",IF(K5&lt;=TODAY()+30,"Review Due Soon","Active")))))))</x:f>
        <x:v>#NAME?</x:v>
      </x:c>
    </x:row>
    <x:row r="6">
      <x:c r="H6" s="13"/>
      <x:c r="J6" s="13"/>
      <x:c r="K6" s="13"/>
      <x:c r="N6" s="13"/>
      <x:c r="O6" t="e">
        <x:f>IF(A6="","",IF(I6="Rejected","Rejected",IF(I6="Pending Approval","Awaiting Approval",IF(K6="","Missing Expiry",IF(K6&lt;TODAY(),"Expired",IF(K6&lt;=TODAY()+30,"Review Due Soon","Active")))))))</x:f>
        <x:v>#NAME?</x:v>
      </x:c>
    </x:row>
    <x:row r="7">
      <x:c r="H7" s="13"/>
      <x:c r="J7" s="13"/>
      <x:c r="K7" s="13"/>
      <x:c r="N7" s="13"/>
      <x:c r="O7" t="e">
        <x:f>IF(A7="","",IF(I7="Rejected","Rejected",IF(I7="Pending Approval","Awaiting Approval",IF(K7="","Missing Expiry",IF(K7&lt;TODAY(),"Expired",IF(K7&lt;=TODAY()+30,"Review Due Soon","Active")))))))</x:f>
        <x:v>#NAME?</x:v>
      </x:c>
    </x:row>
    <x:row r="8">
      <x:c r="H8" s="13"/>
      <x:c r="J8" s="13"/>
      <x:c r="K8" s="13"/>
      <x:c r="N8" s="13"/>
      <x:c r="O8" t="e">
        <x:f>IF(A8="","",IF(I8="Rejected","Rejected",IF(I8="Pending Approval","Awaiting Approval",IF(K8="","Missing Expiry",IF(K8&lt;TODAY(),"Expired",IF(K8&lt;=TODAY()+30,"Review Due Soon","Active")))))))</x:f>
        <x:v>#NAME?</x:v>
      </x:c>
    </x:row>
    <x:row r="9">
      <x:c r="H9" s="13"/>
      <x:c r="J9" s="13"/>
      <x:c r="K9" s="13"/>
      <x:c r="N9" s="13"/>
      <x:c r="O9" t="e">
        <x:f>IF(A9="","",IF(I9="Rejected","Rejected",IF(I9="Pending Approval","Awaiting Approval",IF(K9="","Missing Expiry",IF(K9&lt;TODAY(),"Expired",IF(K9&lt;=TODAY()+30,"Review Due Soon","Active")))))))</x:f>
        <x:v>#NAME?</x:v>
      </x:c>
    </x:row>
    <x:row r="10">
      <x:c r="H10" s="13"/>
      <x:c r="J10" s="13"/>
      <x:c r="K10" s="13"/>
      <x:c r="N10" s="13"/>
      <x:c r="O10" t="e">
        <x:f>IF(A10="","",IF(I10="Rejected","Rejected",IF(I10="Pending Approval","Awaiting Approval",IF(K10="","Missing Expiry",IF(K10&lt;TODAY(),"Expired",IF(K10&lt;=TODAY()+30,"Review Due Soon","Active")))))))</x:f>
        <x:v>#NAME?</x:v>
      </x:c>
    </x:row>
    <x:row r="11">
      <x:c r="H11" s="13"/>
      <x:c r="J11" s="13"/>
      <x:c r="K11" s="13"/>
      <x:c r="N11" s="13"/>
      <x:c r="O11" t="e">
        <x:f>IF(A11="","",IF(I11="Rejected","Rejected",IF(I11="Pending Approval","Awaiting Approval",IF(K11="","Missing Expiry",IF(K11&lt;TODAY(),"Expired",IF(K11&lt;=TODAY()+30,"Review Due Soon","Active")))))))</x:f>
        <x:v>#NAME?</x:v>
      </x:c>
    </x:row>
    <x:row r="12">
      <x:c r="H12" s="13"/>
      <x:c r="J12" s="13"/>
      <x:c r="K12" s="13"/>
      <x:c r="N12" s="13"/>
      <x:c r="O12" t="e">
        <x:f>IF(A12="","",IF(I12="Rejected","Rejected",IF(I12="Pending Approval","Awaiting Approval",IF(K12="","Missing Expiry",IF(K12&lt;TODAY(),"Expired",IF(K12&lt;=TODAY()+30,"Review Due Soon","Active")))))))</x:f>
        <x:v>#NAME?</x:v>
      </x:c>
    </x:row>
    <x:row r="13">
      <x:c r="H13" s="13"/>
      <x:c r="J13" s="13"/>
      <x:c r="K13" s="13"/>
      <x:c r="N13" s="13"/>
      <x:c r="O13" t="e">
        <x:f>IF(A13="","",IF(I13="Rejected","Rejected",IF(I13="Pending Approval","Awaiting Approval",IF(K13="","Missing Expiry",IF(K13&lt;TODAY(),"Expired",IF(K13&lt;=TODAY()+30,"Review Due Soon","Active")))))))</x:f>
        <x:v>#NAME?</x:v>
      </x:c>
    </x:row>
    <x:row r="14">
      <x:c r="H14" s="13"/>
      <x:c r="J14" s="13"/>
      <x:c r="K14" s="13"/>
      <x:c r="N14" s="13"/>
      <x:c r="O14" t="e">
        <x:f>IF(A14="","",IF(I14="Rejected","Rejected",IF(I14="Pending Approval","Awaiting Approval",IF(K14="","Missing Expiry",IF(K14&lt;TODAY(),"Expired",IF(K14&lt;=TODAY()+30,"Review Due Soon","Active")))))))</x:f>
        <x:v>#NAME?</x:v>
      </x:c>
    </x:row>
    <x:row r="15">
      <x:c r="H15" s="13"/>
      <x:c r="J15" s="13"/>
      <x:c r="K15" s="13"/>
      <x:c r="N15" s="13"/>
      <x:c r="O15" t="e">
        <x:f>IF(A15="","",IF(I15="Rejected","Rejected",IF(I15="Pending Approval","Awaiting Approval",IF(K15="","Missing Expiry",IF(K15&lt;TODAY(),"Expired",IF(K15&lt;=TODAY()+30,"Review Due Soon","Active")))))))</x:f>
        <x:v>#NAME?</x:v>
      </x:c>
    </x:row>
    <x:row r="16">
      <x:c r="H16" s="13"/>
      <x:c r="J16" s="13"/>
      <x:c r="K16" s="13"/>
      <x:c r="N16" s="13"/>
      <x:c r="O16" t="e">
        <x:f>IF(A16="","",IF(I16="Rejected","Rejected",IF(I16="Pending Approval","Awaiting Approval",IF(K16="","Missing Expiry",IF(K16&lt;TODAY(),"Expired",IF(K16&lt;=TODAY()+30,"Review Due Soon","Active")))))))</x:f>
        <x:v>#NAME?</x:v>
      </x:c>
    </x:row>
    <x:row r="17">
      <x:c r="H17" s="13"/>
      <x:c r="J17" s="13"/>
      <x:c r="K17" s="13"/>
      <x:c r="N17" s="13"/>
      <x:c r="O17" t="e">
        <x:f>IF(A17="","",IF(I17="Rejected","Rejected",IF(I17="Pending Approval","Awaiting Approval",IF(K17="","Missing Expiry",IF(K17&lt;TODAY(),"Expired",IF(K17&lt;=TODAY()+30,"Review Due Soon","Active")))))))</x:f>
        <x:v>#NAME?</x:v>
      </x:c>
    </x:row>
    <x:row r="18">
      <x:c r="H18" s="13"/>
      <x:c r="J18" s="13"/>
      <x:c r="K18" s="13"/>
      <x:c r="N18" s="13"/>
      <x:c r="O18" t="e">
        <x:f>IF(A18="","",IF(I18="Rejected","Rejected",IF(I18="Pending Approval","Awaiting Approval",IF(K18="","Missing Expiry",IF(K18&lt;TODAY(),"Expired",IF(K18&lt;=TODAY()+30,"Review Due Soon","Active")))))))</x:f>
        <x:v>#NAME?</x:v>
      </x:c>
    </x:row>
    <x:row r="19">
      <x:c r="H19" s="13"/>
      <x:c r="J19" s="13"/>
      <x:c r="K19" s="13"/>
      <x:c r="N19" s="13"/>
      <x:c r="O19" t="e">
        <x:f>IF(A19="","",IF(I19="Rejected","Rejected",IF(I19="Pending Approval","Awaiting Approval",IF(K19="","Missing Expiry",IF(K19&lt;TODAY(),"Expired",IF(K19&lt;=TODAY()+30,"Review Due Soon","Active")))))))</x:f>
        <x:v>#NAME?</x:v>
      </x:c>
    </x:row>
    <x:row r="20">
      <x:c r="H20" s="13"/>
      <x:c r="J20" s="13"/>
      <x:c r="K20" s="13"/>
      <x:c r="N20" s="13"/>
      <x:c r="O20" t="e">
        <x:f>IF(A20="","",IF(I20="Rejected","Rejected",IF(I20="Pending Approval","Awaiting Approval",IF(K20="","Missing Expiry",IF(K20&lt;TODAY(),"Expired",IF(K20&lt;=TODAY()+30,"Review Due Soon","Active")))))))</x:f>
        <x:v>#NAME?</x:v>
      </x:c>
    </x:row>
    <x:row r="21">
      <x:c r="H21" s="13"/>
      <x:c r="J21" s="13"/>
      <x:c r="K21" s="13"/>
      <x:c r="N21" s="13"/>
      <x:c r="O21" t="e">
        <x:f>IF(A21="","",IF(I21="Rejected","Rejected",IF(I21="Pending Approval","Awaiting Approval",IF(K21="","Missing Expiry",IF(K21&lt;TODAY(),"Expired",IF(K21&lt;=TODAY()+30,"Review Due Soon","Active")))))))</x:f>
        <x:v>#NAME?</x:v>
      </x:c>
    </x:row>
    <x:row r="22">
      <x:c r="H22" s="13"/>
      <x:c r="J22" s="13"/>
      <x:c r="K22" s="13"/>
      <x:c r="N22" s="13"/>
      <x:c r="O22" t="e">
        <x:f>IF(A22="","",IF(I22="Rejected","Rejected",IF(I22="Pending Approval","Awaiting Approval",IF(K22="","Missing Expiry",IF(K22&lt;TODAY(),"Expired",IF(K22&lt;=TODAY()+30,"Review Due Soon","Active")))))))</x:f>
        <x:v>#NAME?</x:v>
      </x:c>
    </x:row>
    <x:row r="23">
      <x:c r="H23" s="13"/>
      <x:c r="J23" s="13"/>
      <x:c r="K23" s="13"/>
      <x:c r="N23" s="13"/>
      <x:c r="O23" t="e">
        <x:f>IF(A23="","",IF(I23="Rejected","Rejected",IF(I23="Pending Approval","Awaiting Approval",IF(K23="","Missing Expiry",IF(K23&lt;TODAY(),"Expired",IF(K23&lt;=TODAY()+30,"Review Due Soon","Active")))))))</x:f>
        <x:v>#NAME?</x:v>
      </x:c>
    </x:row>
    <x:row r="24">
      <x:c r="H24" s="13"/>
      <x:c r="J24" s="13"/>
      <x:c r="K24" s="13"/>
      <x:c r="N24" s="13"/>
      <x:c r="O24" t="e">
        <x:f>IF(A24="","",IF(I24="Rejected","Rejected",IF(I24="Pending Approval","Awaiting Approval",IF(K24="","Missing Expiry",IF(K24&lt;TODAY(),"Expired",IF(K24&lt;=TODAY()+30,"Review Due Soon","Active")))))))</x:f>
        <x:v>#NAME?</x:v>
      </x:c>
    </x:row>
    <x:row r="25">
      <x:c r="H25" s="13"/>
      <x:c r="J25" s="13"/>
      <x:c r="K25" s="13"/>
      <x:c r="N25" s="13"/>
      <x:c r="O25" t="e">
        <x:f>IF(A25="","",IF(I25="Rejected","Rejected",IF(I25="Pending Approval","Awaiting Approval",IF(K25="","Missing Expiry",IF(K25&lt;TODAY(),"Expired",IF(K25&lt;=TODAY()+30,"Review Due Soon","Active")))))))</x:f>
        <x:v>#NAME?</x:v>
      </x:c>
    </x:row>
    <x:row r="26">
      <x:c r="H26" s="13"/>
      <x:c r="J26" s="13"/>
      <x:c r="K26" s="13"/>
      <x:c r="N26" s="13"/>
      <x:c r="O26" t="e">
        <x:f>IF(A26="","",IF(I26="Rejected","Rejected",IF(I26="Pending Approval","Awaiting Approval",IF(K26="","Missing Expiry",IF(K26&lt;TODAY(),"Expired",IF(K26&lt;=TODAY()+30,"Review Due Soon","Active")))))))</x:f>
        <x:v>#NAME?</x:v>
      </x:c>
    </x:row>
    <x:row r="27">
      <x:c r="H27" s="13"/>
      <x:c r="J27" s="13"/>
      <x:c r="K27" s="13"/>
      <x:c r="N27" s="13"/>
      <x:c r="O27" t="e">
        <x:f>IF(A27="","",IF(I27="Rejected","Rejected",IF(I27="Pending Approval","Awaiting Approval",IF(K27="","Missing Expiry",IF(K27&lt;TODAY(),"Expired",IF(K27&lt;=TODAY()+30,"Review Due Soon","Active")))))))</x:f>
        <x:v>#NAME?</x:v>
      </x:c>
    </x:row>
    <x:row r="28">
      <x:c r="H28" s="13"/>
      <x:c r="J28" s="13"/>
      <x:c r="K28" s="13"/>
      <x:c r="N28" s="13"/>
      <x:c r="O28" t="e">
        <x:f>IF(A28="","",IF(I28="Rejected","Rejected",IF(I28="Pending Approval","Awaiting Approval",IF(K28="","Missing Expiry",IF(K28&lt;TODAY(),"Expired",IF(K28&lt;=TODAY()+30,"Review Due Soon","Active")))))))</x:f>
        <x:v>#NAME?</x:v>
      </x:c>
    </x:row>
    <x:row r="29">
      <x:c r="H29" s="13"/>
      <x:c r="J29" s="13"/>
      <x:c r="K29" s="13"/>
      <x:c r="N29" s="13"/>
      <x:c r="O29" t="e">
        <x:f>IF(A29="","",IF(I29="Rejected","Rejected",IF(I29="Pending Approval","Awaiting Approval",IF(K29="","Missing Expiry",IF(K29&lt;TODAY(),"Expired",IF(K29&lt;=TODAY()+30,"Review Due Soon","Active")))))))</x:f>
        <x:v>#NAME?</x:v>
      </x:c>
    </x:row>
    <x:row r="30">
      <x:c r="H30" s="13"/>
      <x:c r="J30" s="13"/>
      <x:c r="K30" s="13"/>
      <x:c r="N30" s="13"/>
      <x:c r="O30" t="e">
        <x:f>IF(A30="","",IF(I30="Rejected","Rejected",IF(I30="Pending Approval","Awaiting Approval",IF(K30="","Missing Expiry",IF(K30&lt;TODAY(),"Expired",IF(K30&lt;=TODAY()+30,"Review Due Soon","Active")))))))</x:f>
        <x:v>#NAME?</x:v>
      </x:c>
    </x:row>
    <x:row r="31">
      <x:c r="H31" s="13"/>
      <x:c r="J31" s="13"/>
      <x:c r="K31" s="13"/>
      <x:c r="N31" s="13"/>
      <x:c r="O31" t="e">
        <x:f>IF(A31="","",IF(I31="Rejected","Rejected",IF(I31="Pending Approval","Awaiting Approval",IF(K31="","Missing Expiry",IF(K31&lt;TODAY(),"Expired",IF(K31&lt;=TODAY()+30,"Review Due Soon","Active")))))))</x:f>
        <x:v>#NAME?</x:v>
      </x:c>
    </x:row>
    <x:row r="32">
      <x:c r="H32" s="13"/>
      <x:c r="J32" s="13"/>
      <x:c r="K32" s="13"/>
      <x:c r="N32" s="13"/>
      <x:c r="O32" t="e">
        <x:f>IF(A32="","",IF(I32="Rejected","Rejected",IF(I32="Pending Approval","Awaiting Approval",IF(K32="","Missing Expiry",IF(K32&lt;TODAY(),"Expired",IF(K32&lt;=TODAY()+30,"Review Due Soon","Active")))))))</x:f>
        <x:v>#NAME?</x:v>
      </x:c>
    </x:row>
    <x:row r="33">
      <x:c r="H33" s="13"/>
      <x:c r="J33" s="13"/>
      <x:c r="K33" s="13"/>
      <x:c r="N33" s="13"/>
      <x:c r="O33" t="e">
        <x:f>IF(A33="","",IF(I33="Rejected","Rejected",IF(I33="Pending Approval","Awaiting Approval",IF(K33="","Missing Expiry",IF(K33&lt;TODAY(),"Expired",IF(K33&lt;=TODAY()+30,"Review Due Soon","Active")))))))</x:f>
        <x:v>#NAME?</x:v>
      </x:c>
    </x:row>
    <x:row r="34">
      <x:c r="H34" s="13"/>
      <x:c r="J34" s="13"/>
      <x:c r="K34" s="13"/>
      <x:c r="N34" s="13"/>
      <x:c r="O34" t="e">
        <x:f>IF(A34="","",IF(I34="Rejected","Rejected",IF(I34="Pending Approval","Awaiting Approval",IF(K34="","Missing Expiry",IF(K34&lt;TODAY(),"Expired",IF(K34&lt;=TODAY()+30,"Review Due Soon","Active")))))))</x:f>
        <x:v>#NAME?</x:v>
      </x:c>
    </x:row>
    <x:row r="35">
      <x:c r="H35" s="13"/>
      <x:c r="J35" s="13"/>
      <x:c r="K35" s="13"/>
      <x:c r="N35" s="13"/>
      <x:c r="O35" t="e">
        <x:f>IF(A35="","",IF(I35="Rejected","Rejected",IF(I35="Pending Approval","Awaiting Approval",IF(K35="","Missing Expiry",IF(K35&lt;TODAY(),"Expired",IF(K35&lt;=TODAY()+30,"Review Due Soon","Active")))))))</x:f>
        <x:v>#NAME?</x:v>
      </x:c>
    </x:row>
    <x:row r="36">
      <x:c r="H36" s="13"/>
      <x:c r="J36" s="13"/>
      <x:c r="K36" s="13"/>
      <x:c r="N36" s="13"/>
      <x:c r="O36" t="e">
        <x:f>IF(A36="","",IF(I36="Rejected","Rejected",IF(I36="Pending Approval","Awaiting Approval",IF(K36="","Missing Expiry",IF(K36&lt;TODAY(),"Expired",IF(K36&lt;=TODAY()+30,"Review Due Soon","Active")))))))</x:f>
        <x:v>#NAME?</x:v>
      </x:c>
    </x:row>
    <x:row r="37">
      <x:c r="H37" s="13"/>
      <x:c r="J37" s="13"/>
      <x:c r="K37" s="13"/>
      <x:c r="N37" s="13"/>
      <x:c r="O37" t="e">
        <x:f>IF(A37="","",IF(I37="Rejected","Rejected",IF(I37="Pending Approval","Awaiting Approval",IF(K37="","Missing Expiry",IF(K37&lt;TODAY(),"Expired",IF(K37&lt;=TODAY()+30,"Review Due Soon","Active")))))))</x:f>
        <x:v>#NAME?</x:v>
      </x:c>
    </x:row>
    <x:row r="38">
      <x:c r="H38" s="13"/>
      <x:c r="J38" s="13"/>
      <x:c r="K38" s="13"/>
      <x:c r="N38" s="13"/>
      <x:c r="O38" t="e">
        <x:f>IF(A38="","",IF(I38="Rejected","Rejected",IF(I38="Pending Approval","Awaiting Approval",IF(K38="","Missing Expiry",IF(K38&lt;TODAY(),"Expired",IF(K38&lt;=TODAY()+30,"Review Due Soon","Active")))))))</x:f>
        <x:v>#NAME?</x:v>
      </x:c>
    </x:row>
    <x:row r="39">
      <x:c r="H39" s="13"/>
      <x:c r="J39" s="13"/>
      <x:c r="K39" s="13"/>
      <x:c r="N39" s="13"/>
      <x:c r="O39" t="e">
        <x:f>IF(A39="","",IF(I39="Rejected","Rejected",IF(I39="Pending Approval","Awaiting Approval",IF(K39="","Missing Expiry",IF(K39&lt;TODAY(),"Expired",IF(K39&lt;=TODAY()+30,"Review Due Soon","Active")))))))</x:f>
        <x:v>#NAME?</x:v>
      </x:c>
    </x:row>
    <x:row r="40">
      <x:c r="H40" s="13"/>
      <x:c r="J40" s="13"/>
      <x:c r="K40" s="13"/>
      <x:c r="N40" s="13"/>
      <x:c r="O40" t="e">
        <x:f>IF(A40="","",IF(I40="Rejected","Rejected",IF(I40="Pending Approval","Awaiting Approval",IF(K40="","Missing Expiry",IF(K40&lt;TODAY(),"Expired",IF(K40&lt;=TODAY()+30,"Review Due Soon","Active")))))))</x:f>
        <x:v>#NAME?</x:v>
      </x:c>
    </x:row>
    <x:row r="41">
      <x:c r="H41" s="13"/>
      <x:c r="J41" s="13"/>
      <x:c r="K41" s="13"/>
      <x:c r="N41" s="13"/>
      <x:c r="O41" t="e">
        <x:f>IF(A41="","",IF(I41="Rejected","Rejected",IF(I41="Pending Approval","Awaiting Approval",IF(K41="","Missing Expiry",IF(K41&lt;TODAY(),"Expired",IF(K41&lt;=TODAY()+30,"Review Due Soon","Active")))))))</x:f>
        <x:v>#NAME?</x:v>
      </x:c>
    </x:row>
    <x:row r="42">
      <x:c r="H42" s="13"/>
      <x:c r="J42" s="13"/>
      <x:c r="K42" s="13"/>
      <x:c r="N42" s="13"/>
      <x:c r="O42" t="e">
        <x:f>IF(A42="","",IF(I42="Rejected","Rejected",IF(I42="Pending Approval","Awaiting Approval",IF(K42="","Missing Expiry",IF(K42&lt;TODAY(),"Expired",IF(K42&lt;=TODAY()+30,"Review Due Soon","Active")))))))</x:f>
        <x:v>#NAME?</x:v>
      </x:c>
    </x:row>
    <x:row r="43">
      <x:c r="H43" s="13"/>
      <x:c r="J43" s="13"/>
      <x:c r="K43" s="13"/>
      <x:c r="N43" s="13"/>
      <x:c r="O43" t="e">
        <x:f>IF(A43="","",IF(I43="Rejected","Rejected",IF(I43="Pending Approval","Awaiting Approval",IF(K43="","Missing Expiry",IF(K43&lt;TODAY(),"Expired",IF(K43&lt;=TODAY()+30,"Review Due Soon","Active")))))))</x:f>
        <x:v>#NAME?</x:v>
      </x:c>
    </x:row>
    <x:row r="44">
      <x:c r="H44" s="13"/>
      <x:c r="J44" s="13"/>
      <x:c r="K44" s="13"/>
      <x:c r="N44" s="13"/>
      <x:c r="O44" t="e">
        <x:f>IF(A44="","",IF(I44="Rejected","Rejected",IF(I44="Pending Approval","Awaiting Approval",IF(K44="","Missing Expiry",IF(K44&lt;TODAY(),"Expired",IF(K44&lt;=TODAY()+30,"Review Due Soon","Active")))))))</x:f>
        <x:v>#NAME?</x:v>
      </x:c>
    </x:row>
    <x:row r="45">
      <x:c r="H45" s="13"/>
      <x:c r="J45" s="13"/>
      <x:c r="K45" s="13"/>
      <x:c r="N45" s="13"/>
      <x:c r="O45" t="e">
        <x:f>IF(A45="","",IF(I45="Rejected","Rejected",IF(I45="Pending Approval","Awaiting Approval",IF(K45="","Missing Expiry",IF(K45&lt;TODAY(),"Expired",IF(K45&lt;=TODAY()+30,"Review Due Soon","Active")))))))</x:f>
        <x:v>#NAME?</x:v>
      </x:c>
    </x:row>
    <x:row r="46">
      <x:c r="H46" s="13"/>
      <x:c r="J46" s="13"/>
      <x:c r="K46" s="13"/>
      <x:c r="N46" s="13"/>
      <x:c r="O46" t="e">
        <x:f>IF(A46="","",IF(I46="Rejected","Rejected",IF(I46="Pending Approval","Awaiting Approval",IF(K46="","Missing Expiry",IF(K46&lt;TODAY(),"Expired",IF(K46&lt;=TODAY()+30,"Review Due Soon","Active")))))))</x:f>
        <x:v>#NAME?</x:v>
      </x:c>
    </x:row>
    <x:row r="47">
      <x:c r="H47" s="13"/>
      <x:c r="J47" s="13"/>
      <x:c r="K47" s="13"/>
      <x:c r="N47" s="13"/>
      <x:c r="O47" t="e">
        <x:f>IF(A47="","",IF(I47="Rejected","Rejected",IF(I47="Pending Approval","Awaiting Approval",IF(K47="","Missing Expiry",IF(K47&lt;TODAY(),"Expired",IF(K47&lt;=TODAY()+30,"Review Due Soon","Active")))))))</x:f>
        <x:v>#NAME?</x:v>
      </x:c>
    </x:row>
    <x:row r="48">
      <x:c r="H48" s="13"/>
      <x:c r="J48" s="13"/>
      <x:c r="K48" s="13"/>
      <x:c r="N48" s="13"/>
      <x:c r="O48" t="e">
        <x:f>IF(A48="","",IF(I48="Rejected","Rejected",IF(I48="Pending Approval","Awaiting Approval",IF(K48="","Missing Expiry",IF(K48&lt;TODAY(),"Expired",IF(K48&lt;=TODAY()+30,"Review Due Soon","Active")))))))</x:f>
        <x:v>#NAME?</x:v>
      </x:c>
    </x:row>
    <x:row r="49">
      <x:c r="H49" s="13"/>
      <x:c r="J49" s="13"/>
      <x:c r="K49" s="13"/>
      <x:c r="N49" s="13"/>
      <x:c r="O49" t="e">
        <x:f>IF(A49="","",IF(I49="Rejected","Rejected",IF(I49="Pending Approval","Awaiting Approval",IF(K49="","Missing Expiry",IF(K49&lt;TODAY(),"Expired",IF(K49&lt;=TODAY()+30,"Review Due Soon","Active")))))))</x:f>
        <x:v>#NAME?</x:v>
      </x:c>
    </x:row>
    <x:row r="50">
      <x:c r="H50" s="13"/>
      <x:c r="J50" s="13"/>
      <x:c r="K50" s="13"/>
      <x:c r="N50" s="13"/>
      <x:c r="O50" t="e">
        <x:f>IF(A50="","",IF(I50="Rejected","Rejected",IF(I50="Pending Approval","Awaiting Approval",IF(K50="","Missing Expiry",IF(K50&lt;TODAY(),"Expired",IF(K50&lt;=TODAY()+30,"Review Due Soon","Active")))))))</x:f>
        <x:v>#NAME?</x:v>
      </x:c>
    </x:row>
    <x:row r="51">
      <x:c r="H51" s="13"/>
      <x:c r="J51" s="13"/>
      <x:c r="K51" s="13"/>
      <x:c r="N51" s="13"/>
      <x:c r="O51" t="e">
        <x:f>IF(A51="","",IF(I51="Rejected","Rejected",IF(I51="Pending Approval","Awaiting Approval",IF(K51="","Missing Expiry",IF(K51&lt;TODAY(),"Expired",IF(K51&lt;=TODAY()+30,"Review Due Soon","Active")))))))</x:f>
        <x:v>#NAME?</x:v>
      </x:c>
    </x:row>
    <x:row r="52">
      <x:c r="H52" s="13"/>
      <x:c r="J52" s="13"/>
      <x:c r="K52" s="13"/>
      <x:c r="N52" s="13"/>
      <x:c r="O52" t="e">
        <x:f>IF(A52="","",IF(I52="Rejected","Rejected",IF(I52="Pending Approval","Awaiting Approval",IF(K52="","Missing Expiry",IF(K52&lt;TODAY(),"Expired",IF(K52&lt;=TODAY()+30,"Review Due Soon","Active")))))))</x:f>
        <x:v>#NAME?</x:v>
      </x:c>
    </x:row>
    <x:row r="53">
      <x:c r="H53" s="13"/>
      <x:c r="J53" s="13"/>
      <x:c r="K53" s="13"/>
      <x:c r="N53" s="13"/>
      <x:c r="O53" t="e">
        <x:f>IF(A53="","",IF(I53="Rejected","Rejected",IF(I53="Pending Approval","Awaiting Approval",IF(K53="","Missing Expiry",IF(K53&lt;TODAY(),"Expired",IF(K53&lt;=TODAY()+30,"Review Due Soon","Active")))))))</x:f>
        <x:v>#NAME?</x:v>
      </x:c>
    </x:row>
    <x:row r="54">
      <x:c r="H54" s="13"/>
      <x:c r="J54" s="13"/>
      <x:c r="K54" s="13"/>
      <x:c r="N54" s="13"/>
      <x:c r="O54" t="e">
        <x:f>IF(A54="","",IF(I54="Rejected","Rejected",IF(I54="Pending Approval","Awaiting Approval",IF(K54="","Missing Expiry",IF(K54&lt;TODAY(),"Expired",IF(K54&lt;=TODAY()+30,"Review Due Soon","Active")))))))</x:f>
        <x:v>#NAME?</x:v>
      </x:c>
    </x:row>
    <x:row r="55">
      <x:c r="H55" s="13"/>
      <x:c r="J55" s="13"/>
      <x:c r="K55" s="13"/>
      <x:c r="N55" s="13"/>
      <x:c r="O55" t="e">
        <x:f>IF(A55="","",IF(I55="Rejected","Rejected",IF(I55="Pending Approval","Awaiting Approval",IF(K55="","Missing Expiry",IF(K55&lt;TODAY(),"Expired",IF(K55&lt;=TODAY()+30,"Review Due Soon","Active")))))))</x:f>
        <x:v>#NAME?</x:v>
      </x:c>
    </x:row>
    <x:row r="56">
      <x:c r="H56" s="13"/>
      <x:c r="J56" s="13"/>
      <x:c r="K56" s="13"/>
      <x:c r="N56" s="13"/>
      <x:c r="O56" t="e">
        <x:f>IF(A56="","",IF(I56="Rejected","Rejected",IF(I56="Pending Approval","Awaiting Approval",IF(K56="","Missing Expiry",IF(K56&lt;TODAY(),"Expired",IF(K56&lt;=TODAY()+30,"Review Due Soon","Active")))))))</x:f>
        <x:v>#NAME?</x:v>
      </x:c>
    </x:row>
    <x:row r="57">
      <x:c r="H57" s="13"/>
      <x:c r="J57" s="13"/>
      <x:c r="K57" s="13"/>
      <x:c r="N57" s="13"/>
      <x:c r="O57" t="e">
        <x:f>IF(A57="","",IF(I57="Rejected","Rejected",IF(I57="Pending Approval","Awaiting Approval",IF(K57="","Missing Expiry",IF(K57&lt;TODAY(),"Expired",IF(K57&lt;=TODAY()+30,"Review Due Soon","Active")))))))</x:f>
        <x:v>#NAME?</x:v>
      </x:c>
    </x:row>
    <x:row r="58">
      <x:c r="H58" s="13"/>
      <x:c r="J58" s="13"/>
      <x:c r="K58" s="13"/>
      <x:c r="N58" s="13"/>
      <x:c r="O58" t="e">
        <x:f>IF(A58="","",IF(I58="Rejected","Rejected",IF(I58="Pending Approval","Awaiting Approval",IF(K58="","Missing Expiry",IF(K58&lt;TODAY(),"Expired",IF(K58&lt;=TODAY()+30,"Review Due Soon","Active")))))))</x:f>
        <x:v>#NAME?</x:v>
      </x:c>
    </x:row>
    <x:row r="59">
      <x:c r="H59" s="13"/>
      <x:c r="J59" s="13"/>
      <x:c r="K59" s="13"/>
      <x:c r="N59" s="13"/>
      <x:c r="O59" t="e">
        <x:f>IF(A59="","",IF(I59="Rejected","Rejected",IF(I59="Pending Approval","Awaiting Approval",IF(K59="","Missing Expiry",IF(K59&lt;TODAY(),"Expired",IF(K59&lt;=TODAY()+30,"Review Due Soon","Active")))))))</x:f>
        <x:v>#NAME?</x:v>
      </x:c>
    </x:row>
    <x:row r="60">
      <x:c r="H60" s="13"/>
      <x:c r="J60" s="13"/>
      <x:c r="K60" s="13"/>
      <x:c r="N60" s="13"/>
      <x:c r="O60" t="e">
        <x:f>IF(A60="","",IF(I60="Rejected","Rejected",IF(I60="Pending Approval","Awaiting Approval",IF(K60="","Missing Expiry",IF(K60&lt;TODAY(),"Expired",IF(K60&lt;=TODAY()+30,"Review Due Soon","Active")))))))</x:f>
        <x:v>#NAME?</x:v>
      </x:c>
    </x:row>
    <x:row r="61">
      <x:c r="H61" s="13"/>
      <x:c r="J61" s="13"/>
      <x:c r="K61" s="13"/>
      <x:c r="N61" s="13"/>
      <x:c r="O61" t="e">
        <x:f>IF(A61="","",IF(I61="Rejected","Rejected",IF(I61="Pending Approval","Awaiting Approval",IF(K61="","Missing Expiry",IF(K61&lt;TODAY(),"Expired",IF(K61&lt;=TODAY()+30,"Review Due Soon","Active")))))))</x:f>
        <x:v>#NAME?</x:v>
      </x:c>
    </x:row>
    <x:row r="62">
      <x:c r="H62" s="13"/>
      <x:c r="J62" s="13"/>
      <x:c r="K62" s="13"/>
      <x:c r="N62" s="13"/>
      <x:c r="O62" t="e">
        <x:f>IF(A62="","",IF(I62="Rejected","Rejected",IF(I62="Pending Approval","Awaiting Approval",IF(K62="","Missing Expiry",IF(K62&lt;TODAY(),"Expired",IF(K62&lt;=TODAY()+30,"Review Due Soon","Active")))))))</x:f>
        <x:v>#NAME?</x:v>
      </x:c>
    </x:row>
    <x:row r="63">
      <x:c r="H63" s="13"/>
      <x:c r="J63" s="13"/>
      <x:c r="K63" s="13"/>
      <x:c r="N63" s="13"/>
      <x:c r="O63" t="e">
        <x:f>IF(A63="","",IF(I63="Rejected","Rejected",IF(I63="Pending Approval","Awaiting Approval",IF(K63="","Missing Expiry",IF(K63&lt;TODAY(),"Expired",IF(K63&lt;=TODAY()+30,"Review Due Soon","Active")))))))</x:f>
        <x:v>#NAME?</x:v>
      </x:c>
    </x:row>
    <x:row r="64">
      <x:c r="H64" s="13"/>
      <x:c r="J64" s="13"/>
      <x:c r="K64" s="13"/>
      <x:c r="N64" s="13"/>
      <x:c r="O64" t="e">
        <x:f>IF(A64="","",IF(I64="Rejected","Rejected",IF(I64="Pending Approval","Awaiting Approval",IF(K64="","Missing Expiry",IF(K64&lt;TODAY(),"Expired",IF(K64&lt;=TODAY()+30,"Review Due Soon","Active")))))))</x:f>
        <x:v>#NAME?</x:v>
      </x:c>
    </x:row>
    <x:row r="65">
      <x:c r="H65" s="13"/>
      <x:c r="J65" s="13"/>
      <x:c r="K65" s="13"/>
      <x:c r="N65" s="13"/>
      <x:c r="O65" t="e">
        <x:f>IF(A65="","",IF(I65="Rejected","Rejected",IF(I65="Pending Approval","Awaiting Approval",IF(K65="","Missing Expiry",IF(K65&lt;TODAY(),"Expired",IF(K65&lt;=TODAY()+30,"Review Due Soon","Active")))))))</x:f>
        <x:v>#NAME?</x:v>
      </x:c>
    </x:row>
    <x:row r="66">
      <x:c r="H66" s="13"/>
      <x:c r="J66" s="13"/>
      <x:c r="K66" s="13"/>
      <x:c r="N66" s="13"/>
      <x:c r="O66" t="e">
        <x:f>IF(A66="","",IF(I66="Rejected","Rejected",IF(I66="Pending Approval","Awaiting Approval",IF(K66="","Missing Expiry",IF(K66&lt;TODAY(),"Expired",IF(K66&lt;=TODAY()+30,"Review Due Soon","Active")))))))</x:f>
        <x:v>#NAME?</x:v>
      </x:c>
    </x:row>
    <x:row r="67">
      <x:c r="H67" s="13"/>
      <x:c r="J67" s="13"/>
      <x:c r="K67" s="13"/>
      <x:c r="N67" s="13"/>
      <x:c r="O67" t="e">
        <x:f>IF(A67="","",IF(I67="Rejected","Rejected",IF(I67="Pending Approval","Awaiting Approval",IF(K67="","Missing Expiry",IF(K67&lt;TODAY(),"Expired",IF(K67&lt;=TODAY()+30,"Review Due Soon","Active")))))))</x:f>
        <x:v>#NAME?</x:v>
      </x:c>
    </x:row>
    <x:row r="68">
      <x:c r="H68" s="13"/>
      <x:c r="J68" s="13"/>
      <x:c r="K68" s="13"/>
      <x:c r="N68" s="13"/>
      <x:c r="O68" t="e">
        <x:f>IF(A68="","",IF(I68="Rejected","Rejected",IF(I68="Pending Approval","Awaiting Approval",IF(K68="","Missing Expiry",IF(K68&lt;TODAY(),"Expired",IF(K68&lt;=TODAY()+30,"Review Due Soon","Active")))))))</x:f>
        <x:v>#NAME?</x:v>
      </x:c>
    </x:row>
    <x:row r="69">
      <x:c r="H69" s="13"/>
      <x:c r="J69" s="13"/>
      <x:c r="K69" s="13"/>
      <x:c r="N69" s="13"/>
      <x:c r="O69" t="e">
        <x:f>IF(A69="","",IF(I69="Rejected","Rejected",IF(I69="Pending Approval","Awaiting Approval",IF(K69="","Missing Expiry",IF(K69&lt;TODAY(),"Expired",IF(K69&lt;=TODAY()+30,"Review Due Soon","Active")))))))</x:f>
        <x:v>#NAME?</x:v>
      </x:c>
    </x:row>
    <x:row r="70">
      <x:c r="H70" s="13"/>
      <x:c r="J70" s="13"/>
      <x:c r="K70" s="13"/>
      <x:c r="N70" s="13"/>
      <x:c r="O70" t="e">
        <x:f>IF(A70="","",IF(I70="Rejected","Rejected",IF(I70="Pending Approval","Awaiting Approval",IF(K70="","Missing Expiry",IF(K70&lt;TODAY(),"Expired",IF(K70&lt;=TODAY()+30,"Review Due Soon","Active")))))))</x:f>
        <x:v>#NAME?</x:v>
      </x:c>
    </x:row>
    <x:row r="71">
      <x:c r="H71" s="13"/>
      <x:c r="J71" s="13"/>
      <x:c r="K71" s="13"/>
      <x:c r="N71" s="13"/>
      <x:c r="O71" t="e">
        <x:f>IF(A71="","",IF(I71="Rejected","Rejected",IF(I71="Pending Approval","Awaiting Approval",IF(K71="","Missing Expiry",IF(K71&lt;TODAY(),"Expired",IF(K71&lt;=TODAY()+30,"Review Due Soon","Active")))))))</x:f>
        <x:v>#NAME?</x:v>
      </x:c>
    </x:row>
    <x:row r="72">
      <x:c r="H72" s="13"/>
      <x:c r="J72" s="13"/>
      <x:c r="K72" s="13"/>
      <x:c r="N72" s="13"/>
      <x:c r="O72" t="e">
        <x:f>IF(A72="","",IF(I72="Rejected","Rejected",IF(I72="Pending Approval","Awaiting Approval",IF(K72="","Missing Expiry",IF(K72&lt;TODAY(),"Expired",IF(K72&lt;=TODAY()+30,"Review Due Soon","Active")))))))</x:f>
        <x:v>#NAME?</x:v>
      </x:c>
    </x:row>
    <x:row r="73">
      <x:c r="H73" s="13"/>
      <x:c r="J73" s="13"/>
      <x:c r="K73" s="13"/>
      <x:c r="N73" s="13"/>
      <x:c r="O73" t="e">
        <x:f>IF(A73="","",IF(I73="Rejected","Rejected",IF(I73="Pending Approval","Awaiting Approval",IF(K73="","Missing Expiry",IF(K73&lt;TODAY(),"Expired",IF(K73&lt;=TODAY()+30,"Review Due Soon","Active")))))))</x:f>
        <x:v>#NAME?</x:v>
      </x:c>
    </x:row>
    <x:row r="74">
      <x:c r="H74" s="13"/>
      <x:c r="J74" s="13"/>
      <x:c r="K74" s="13"/>
      <x:c r="N74" s="13"/>
      <x:c r="O74" t="e">
        <x:f>IF(A74="","",IF(I74="Rejected","Rejected",IF(I74="Pending Approval","Awaiting Approval",IF(K74="","Missing Expiry",IF(K74&lt;TODAY(),"Expired",IF(K74&lt;=TODAY()+30,"Review Due Soon","Active")))))))</x:f>
        <x:v>#NAME?</x:v>
      </x:c>
    </x:row>
    <x:row r="75">
      <x:c r="H75" s="13"/>
      <x:c r="J75" s="13"/>
      <x:c r="K75" s="13"/>
      <x:c r="N75" s="13"/>
      <x:c r="O75" t="e">
        <x:f>IF(A75="","",IF(I75="Rejected","Rejected",IF(I75="Pending Approval","Awaiting Approval",IF(K75="","Missing Expiry",IF(K75&lt;TODAY(),"Expired",IF(K75&lt;=TODAY()+30,"Review Due Soon","Active")))))))</x:f>
        <x:v>#NAME?</x:v>
      </x:c>
    </x:row>
    <x:row r="76">
      <x:c r="H76" s="13"/>
      <x:c r="J76" s="13"/>
      <x:c r="K76" s="13"/>
      <x:c r="N76" s="13"/>
      <x:c r="O76" t="e">
        <x:f>IF(A76="","",IF(I76="Rejected","Rejected",IF(I76="Pending Approval","Awaiting Approval",IF(K76="","Missing Expiry",IF(K76&lt;TODAY(),"Expired",IF(K76&lt;=TODAY()+30,"Review Due Soon","Active")))))))</x:f>
        <x:v>#NAME?</x:v>
      </x:c>
    </x:row>
    <x:row r="77">
      <x:c r="H77" s="13"/>
      <x:c r="J77" s="13"/>
      <x:c r="K77" s="13"/>
      <x:c r="N77" s="13"/>
      <x:c r="O77" t="e">
        <x:f>IF(A77="","",IF(I77="Rejected","Rejected",IF(I77="Pending Approval","Awaiting Approval",IF(K77="","Missing Expiry",IF(K77&lt;TODAY(),"Expired",IF(K77&lt;=TODAY()+30,"Review Due Soon","Active")))))))</x:f>
        <x:v>#NAME?</x:v>
      </x:c>
    </x:row>
    <x:row r="78">
      <x:c r="H78" s="13"/>
      <x:c r="J78" s="13"/>
      <x:c r="K78" s="13"/>
      <x:c r="N78" s="13"/>
      <x:c r="O78" t="e">
        <x:f>IF(A78="","",IF(I78="Rejected","Rejected",IF(I78="Pending Approval","Awaiting Approval",IF(K78="","Missing Expiry",IF(K78&lt;TODAY(),"Expired",IF(K78&lt;=TODAY()+30,"Review Due Soon","Active")))))))</x:f>
        <x:v>#NAME?</x:v>
      </x:c>
    </x:row>
    <x:row r="79">
      <x:c r="H79" s="13"/>
      <x:c r="J79" s="13"/>
      <x:c r="K79" s="13"/>
      <x:c r="N79" s="13"/>
      <x:c r="O79" t="e">
        <x:f>IF(A79="","",IF(I79="Rejected","Rejected",IF(I79="Pending Approval","Awaiting Approval",IF(K79="","Missing Expiry",IF(K79&lt;TODAY(),"Expired",IF(K79&lt;=TODAY()+30,"Review Due Soon","Active")))))))</x:f>
        <x:v>#NAME?</x:v>
      </x:c>
    </x:row>
    <x:row r="80">
      <x:c r="H80" s="13"/>
      <x:c r="J80" s="13"/>
      <x:c r="K80" s="13"/>
      <x:c r="N80" s="13"/>
      <x:c r="O80" t="e">
        <x:f>IF(A80="","",IF(I80="Rejected","Rejected",IF(I80="Pending Approval","Awaiting Approval",IF(K80="","Missing Expiry",IF(K80&lt;TODAY(),"Expired",IF(K80&lt;=TODAY()+30,"Review Due Soon","Active")))))))</x:f>
        <x:v>#NAME?</x:v>
      </x:c>
    </x:row>
    <x:row r="81">
      <x:c r="H81" s="13"/>
      <x:c r="J81" s="13"/>
      <x:c r="K81" s="13"/>
      <x:c r="N81" s="13"/>
      <x:c r="O81" t="e">
        <x:f>IF(A81="","",IF(I81="Rejected","Rejected",IF(I81="Pending Approval","Awaiting Approval",IF(K81="","Missing Expiry",IF(K81&lt;TODAY(),"Expired",IF(K81&lt;=TODAY()+30,"Review Due Soon","Active")))))))</x:f>
        <x:v>#NAME?</x:v>
      </x:c>
    </x:row>
    <x:row r="82">
      <x:c r="H82" s="13"/>
      <x:c r="J82" s="13"/>
      <x:c r="K82" s="13"/>
      <x:c r="N82" s="13"/>
      <x:c r="O82" t="e">
        <x:f>IF(A82="","",IF(I82="Rejected","Rejected",IF(I82="Pending Approval","Awaiting Approval",IF(K82="","Missing Expiry",IF(K82&lt;TODAY(),"Expired",IF(K82&lt;=TODAY()+30,"Review Due Soon","Active")))))))</x:f>
        <x:v>#NAME?</x:v>
      </x:c>
    </x:row>
    <x:row r="83">
      <x:c r="H83" s="13"/>
      <x:c r="J83" s="13"/>
      <x:c r="K83" s="13"/>
      <x:c r="N83" s="13"/>
      <x:c r="O83" t="e">
        <x:f>IF(A83="","",IF(I83="Rejected","Rejected",IF(I83="Pending Approval","Awaiting Approval",IF(K83="","Missing Expiry",IF(K83&lt;TODAY(),"Expired",IF(K83&lt;=TODAY()+30,"Review Due Soon","Active")))))))</x:f>
        <x:v>#NAME?</x:v>
      </x:c>
    </x:row>
    <x:row r="84">
      <x:c r="H84" s="13"/>
      <x:c r="J84" s="13"/>
      <x:c r="K84" s="13"/>
      <x:c r="N84" s="13"/>
      <x:c r="O84" t="e">
        <x:f>IF(A84="","",IF(I84="Rejected","Rejected",IF(I84="Pending Approval","Awaiting Approval",IF(K84="","Missing Expiry",IF(K84&lt;TODAY(),"Expired",IF(K84&lt;=TODAY()+30,"Review Due Soon","Active")))))))</x:f>
        <x:v>#NAME?</x:v>
      </x:c>
    </x:row>
    <x:row r="85">
      <x:c r="H85" s="13"/>
      <x:c r="J85" s="13"/>
      <x:c r="K85" s="13"/>
      <x:c r="N85" s="13"/>
      <x:c r="O85" t="e">
        <x:f>IF(A85="","",IF(I85="Rejected","Rejected",IF(I85="Pending Approval","Awaiting Approval",IF(K85="","Missing Expiry",IF(K85&lt;TODAY(),"Expired",IF(K85&lt;=TODAY()+30,"Review Due Soon","Active")))))))</x:f>
        <x:v>#NAME?</x:v>
      </x:c>
    </x:row>
    <x:row r="86">
      <x:c r="H86" s="13"/>
      <x:c r="J86" s="13"/>
      <x:c r="K86" s="13"/>
      <x:c r="N86" s="13"/>
      <x:c r="O86" t="e">
        <x:f>IF(A86="","",IF(I86="Rejected","Rejected",IF(I86="Pending Approval","Awaiting Approval",IF(K86="","Missing Expiry",IF(K86&lt;TODAY(),"Expired",IF(K86&lt;=TODAY()+30,"Review Due Soon","Active")))))))</x:f>
        <x:v>#NAME?</x:v>
      </x:c>
    </x:row>
    <x:row r="87">
      <x:c r="H87" s="13"/>
      <x:c r="J87" s="13"/>
      <x:c r="K87" s="13"/>
      <x:c r="N87" s="13"/>
      <x:c r="O87" t="e">
        <x:f>IF(A87="","",IF(I87="Rejected","Rejected",IF(I87="Pending Approval","Awaiting Approval",IF(K87="","Missing Expiry",IF(K87&lt;TODAY(),"Expired",IF(K87&lt;=TODAY()+30,"Review Due Soon","Active")))))))</x:f>
        <x:v>#NAME?</x:v>
      </x:c>
    </x:row>
    <x:row r="88">
      <x:c r="H88" s="13"/>
      <x:c r="J88" s="13"/>
      <x:c r="K88" s="13"/>
      <x:c r="N88" s="13"/>
      <x:c r="O88" t="e">
        <x:f>IF(A88="","",IF(I88="Rejected","Rejected",IF(I88="Pending Approval","Awaiting Approval",IF(K88="","Missing Expiry",IF(K88&lt;TODAY(),"Expired",IF(K88&lt;=TODAY()+30,"Review Due Soon","Active")))))))</x:f>
        <x:v>#NAME?</x:v>
      </x:c>
    </x:row>
    <x:row r="89">
      <x:c r="H89" s="13"/>
      <x:c r="J89" s="13"/>
      <x:c r="K89" s="13"/>
      <x:c r="N89" s="13"/>
      <x:c r="O89" t="e">
        <x:f>IF(A89="","",IF(I89="Rejected","Rejected",IF(I89="Pending Approval","Awaiting Approval",IF(K89="","Missing Expiry",IF(K89&lt;TODAY(),"Expired",IF(K89&lt;=TODAY()+30,"Review Due Soon","Active")))))))</x:f>
        <x:v>#NAME?</x:v>
      </x:c>
    </x:row>
    <x:row r="90">
      <x:c r="H90" s="13"/>
      <x:c r="J90" s="13"/>
      <x:c r="K90" s="13"/>
      <x:c r="N90" s="13"/>
      <x:c r="O90" t="e">
        <x:f>IF(A90="","",IF(I90="Rejected","Rejected",IF(I90="Pending Approval","Awaiting Approval",IF(K90="","Missing Expiry",IF(K90&lt;TODAY(),"Expired",IF(K90&lt;=TODAY()+30,"Review Due Soon","Active")))))))</x:f>
        <x:v>#NAME?</x:v>
      </x:c>
    </x:row>
    <x:row r="91">
      <x:c r="H91" s="13"/>
      <x:c r="J91" s="13"/>
      <x:c r="K91" s="13"/>
      <x:c r="N91" s="13"/>
      <x:c r="O91" t="e">
        <x:f>IF(A91="","",IF(I91="Rejected","Rejected",IF(I91="Pending Approval","Awaiting Approval",IF(K91="","Missing Expiry",IF(K91&lt;TODAY(),"Expired",IF(K91&lt;=TODAY()+30,"Review Due Soon","Active")))))))</x:f>
        <x:v>#NAME?</x:v>
      </x:c>
    </x:row>
    <x:row r="92">
      <x:c r="H92" s="13"/>
      <x:c r="J92" s="13"/>
      <x:c r="K92" s="13"/>
      <x:c r="N92" s="13"/>
      <x:c r="O92" t="e">
        <x:f>IF(A92="","",IF(I92="Rejected","Rejected",IF(I92="Pending Approval","Awaiting Approval",IF(K92="","Missing Expiry",IF(K92&lt;TODAY(),"Expired",IF(K92&lt;=TODAY()+30,"Review Due Soon","Active")))))))</x:f>
        <x:v>#NAME?</x:v>
      </x:c>
    </x:row>
    <x:row r="93">
      <x:c r="H93" s="13"/>
      <x:c r="J93" s="13"/>
      <x:c r="K93" s="13"/>
      <x:c r="N93" s="13"/>
      <x:c r="O93" t="e">
        <x:f>IF(A93="","",IF(I93="Rejected","Rejected",IF(I93="Pending Approval","Awaiting Approval",IF(K93="","Missing Expiry",IF(K93&lt;TODAY(),"Expired",IF(K93&lt;=TODAY()+30,"Review Due Soon","Active")))))))</x:f>
        <x:v>#NAME?</x:v>
      </x:c>
    </x:row>
    <x:row r="94">
      <x:c r="H94" s="13"/>
      <x:c r="J94" s="13"/>
      <x:c r="K94" s="13"/>
      <x:c r="N94" s="13"/>
      <x:c r="O94" t="e">
        <x:f>IF(A94="","",IF(I94="Rejected","Rejected",IF(I94="Pending Approval","Awaiting Approval",IF(K94="","Missing Expiry",IF(K94&lt;TODAY(),"Expired",IF(K94&lt;=TODAY()+30,"Review Due Soon","Active")))))))</x:f>
        <x:v>#NAME?</x:v>
      </x:c>
    </x:row>
    <x:row r="95">
      <x:c r="H95" s="13"/>
      <x:c r="J95" s="13"/>
      <x:c r="K95" s="13"/>
      <x:c r="N95" s="13"/>
      <x:c r="O95" t="e">
        <x:f>IF(A95="","",IF(I95="Rejected","Rejected",IF(I95="Pending Approval","Awaiting Approval",IF(K95="","Missing Expiry",IF(K95&lt;TODAY(),"Expired",IF(K95&lt;=TODAY()+30,"Review Due Soon","Active")))))))</x:f>
        <x:v>#NAME?</x:v>
      </x:c>
    </x:row>
    <x:row r="96">
      <x:c r="H96" s="13"/>
      <x:c r="J96" s="13"/>
      <x:c r="K96" s="13"/>
      <x:c r="N96" s="13"/>
      <x:c r="O96" t="e">
        <x:f>IF(A96="","",IF(I96="Rejected","Rejected",IF(I96="Pending Approval","Awaiting Approval",IF(K96="","Missing Expiry",IF(K96&lt;TODAY(),"Expired",IF(K96&lt;=TODAY()+30,"Review Due Soon","Active")))))))</x:f>
        <x:v>#NAME?</x:v>
      </x:c>
    </x:row>
    <x:row r="97">
      <x:c r="H97" s="13"/>
      <x:c r="J97" s="13"/>
      <x:c r="K97" s="13"/>
      <x:c r="N97" s="13"/>
      <x:c r="O97" t="e">
        <x:f>IF(A97="","",IF(I97="Rejected","Rejected",IF(I97="Pending Approval","Awaiting Approval",IF(K97="","Missing Expiry",IF(K97&lt;TODAY(),"Expired",IF(K97&lt;=TODAY()+30,"Review Due Soon","Active")))))))</x:f>
        <x:v>#NAME?</x:v>
      </x:c>
    </x:row>
    <x:row r="98">
      <x:c r="H98" s="13"/>
      <x:c r="J98" s="13"/>
      <x:c r="K98" s="13"/>
      <x:c r="N98" s="13"/>
      <x:c r="O98" t="e">
        <x:f>IF(A98="","",IF(I98="Rejected","Rejected",IF(I98="Pending Approval","Awaiting Approval",IF(K98="","Missing Expiry",IF(K98&lt;TODAY(),"Expired",IF(K98&lt;=TODAY()+30,"Review Due Soon","Active")))))))</x:f>
        <x:v>#NAME?</x:v>
      </x:c>
    </x:row>
    <x:row r="99">
      <x:c r="H99" s="13"/>
      <x:c r="J99" s="13"/>
      <x:c r="K99" s="13"/>
      <x:c r="N99" s="13"/>
      <x:c r="O99" t="e">
        <x:f>IF(A99="","",IF(I99="Rejected","Rejected",IF(I99="Pending Approval","Awaiting Approval",IF(K99="","Missing Expiry",IF(K99&lt;TODAY(),"Expired",IF(K99&lt;=TODAY()+30,"Review Due Soon","Active")))))))</x:f>
        <x:v>#NAME?</x:v>
      </x:c>
    </x:row>
    <x:row r="100">
      <x:c r="H100" s="13"/>
      <x:c r="J100" s="13"/>
      <x:c r="K100" s="13"/>
      <x:c r="N100" s="13"/>
      <x:c r="O100" t="e">
        <x:f>IF(A100="","",IF(I100="Rejected","Rejected",IF(I100="Pending Approval","Awaiting Approval",IF(K100="","Missing Expiry",IF(K100&lt;TODAY(),"Expired",IF(K100&lt;=TODAY()+30,"Review Due Soon","Active")))))))</x:f>
        <x:v>#NAME?</x:v>
      </x:c>
    </x:row>
  </x:sheetData>
  <x:conditionalFormatting sqref="O2:O100">
    <x:cfRule type="expression" dxfId="0" priority="1">
      <x:formula>$O2="Expired"</x:formula>
    </x:cfRule>
    <x:cfRule type="expression" dxfId="1" priority="2">
      <x:formula>$O2="Review Due Soon"</x:formula>
    </x:cfRule>
    <x:cfRule type="expression" dxfId="2" priority="3">
      <x:formula>$O2="Active"</x:formula>
    </x:cfRule>
  </x:conditionalFormatting>
  <x:dataValidations count="2">
    <x:dataValidation type="list" sqref="I2:I100">
      <x:formula1>"Pending Approval,Approved,Rejected,Withdrawn"</x:formula1>
    </x:dataValidation>
    <x:dataValidation type="list" sqref="E2:E100">
      <x:formula1>"Critical,High,Medium,Low"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 ht="42" customHeight="1">
      <x:c r="A1" s="16" t="str">
        <x:v>MediNova | Risk Exception Monitoring</x:v>
      </x:c>
      <x:c r="B1" s="16"/>
      <x:c r="C1" s="16"/>
      <x:c r="D1" s="16"/>
    </x:row>
    <x:row r="3">
      <x:c r="A3" s="19" t="str">
        <x:v>Measure</x:v>
      </x:c>
      <x:c r="B3" s="19" t="str">
        <x:v>Count</x:v>
      </x:c>
    </x:row>
    <x:row r="4">
      <x:c r="A4" t="str">
        <x:v>Total exceptions</x:v>
      </x:c>
      <x:c r="B4" t="n">
        <x:f>COUNTA('Exception Register'!A2:A100)</x:f>
        <x:v>1</x:v>
      </x:c>
    </x:row>
    <x:row r="5">
      <x:c r="A5" t="str">
        <x:v>Pending approval</x:v>
      </x:c>
      <x:c r="B5" t="n">
        <x:f>COUNTIF('Exception Register'!I2:I100,"Pending Approval")</x:f>
        <x:v>1</x:v>
      </x:c>
    </x:row>
    <x:row r="6">
      <x:c r="A6" t="str">
        <x:v>Approved</x:v>
      </x:c>
      <x:c r="B6" t="n">
        <x:f>COUNTIF('Exception Register'!I2:I100,"Approved")</x:f>
        <x:v>0</x:v>
      </x:c>
    </x:row>
    <x:row r="7">
      <x:c r="A7" t="str">
        <x:v>Review due soon</x:v>
      </x:c>
      <x:c r="B7" t="n">
        <x:f>COUNTIF('Exception Register'!O2:O100,"Review Due Soon")</x:f>
        <x:v>0</x:v>
      </x:c>
    </x:row>
    <x:row r="8">
      <x:c r="A8" t="str">
        <x:v>Expired</x:v>
      </x:c>
      <x:c r="B8" t="n">
        <x:f>COUNTIF('Exception Register'!O2:O100,"Expired")</x:f>
        <x:v>0</x:v>
      </x:c>
    </x:row>
    <x:row r="9">
      <x:c r="A9" t="str">
        <x:v>Rejected</x:v>
      </x:c>
      <x:c r="B9" t="n">
        <x:f>COUNTIF('Exception Register'!I2:I100,"Rejected")</x:f>
        <x:v>0</x:v>
      </x:c>
    </x:row>
    <x:row r="11" ht="42" customHeight="1">
      <x:c r="A11" s="10" t="str">
        <x:v>All entries are fictional; approval, evidence, and expiry are intentionally blank until documented.</x:v>
      </x:c>
      <x:c r="B11" s="10"/>
      <x:c r="C11" s="10"/>
      <x:c r="D11" s="10"/>
    </x:row>
  </x:sheetData>
  <x:mergeCells>
    <x:mergeCell ref="A1:D1"/>
    <x:mergeCell ref="A11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Topic</x:v>
      </x:c>
      <x:c r="B1" s="3" t="str">
        <x:v>Instructions</x:v>
      </x:c>
    </x:row>
    <x:row r="2" ht="38" customHeight="1">
      <x:c r="A2" s="10" t="str">
        <x:v>Purpose</x:v>
      </x:c>
      <x:c r="B2" s="10" t="str">
        <x:v>Track risk exception requests, approvals, expiry dates, monitoring and renewal decisions.</x:v>
      </x:c>
    </x:row>
    <x:row r="3" ht="38" customHeight="1">
      <x:c r="A3" s="10" t="str">
        <x:v>Approval</x:v>
      </x:c>
      <x:c r="B3" s="10" t="str">
        <x:v>Never mark Approved without documented authorisation from the designated risk owner.</x:v>
      </x:c>
    </x:row>
    <x:row r="4" ht="38" customHeight="1">
      <x:c r="A4" s="10" t="str">
        <x:v>Expiry</x:v>
      </x:c>
      <x:c r="B4" s="10" t="str">
        <x:v>Enter expiry only after approval. Monitoring Status updates automatically, including an alert within 30 days of expiry.</x:v>
      </x:c>
    </x:row>
    <x:row r="5" ht="38" customHeight="1">
      <x:c r="A5" s="10" t="str">
        <x:v>Evidence</x:v>
      </x:c>
      <x:c r="B5" s="10" t="str">
        <x:v>Reference approved exceptions, risk assessments, control tests and monitoring records; do not include patient or credential secrets.</x:v>
      </x:c>
    </x:row>
    <x:row r="6" ht="38" customHeight="1">
      <x:c r="A6" s="10" t="str">
        <x:v>Renewal</x:v>
      </x:c>
      <x:c r="B6" s="10" t="str">
        <x:v>Before expiry, reassess the risk and controls, obtain fresh approval or remediate and escalate as required.</x:v>
      </x:c>
    </x:row>
    <x:row r="7" ht="38" customHeight="1">
      <x:c r="A7" s="10" t="str">
        <x:v>Finding closure</x:v>
      </x:c>
      <x:c r="B7" s="10" t="str">
        <x:v>An approved exception does not automatically close GAP-002; follow documented finding-closure rules.</x:v>
      </x:c>
    </x:row>
    <x:row r="8" ht="38" customHeight="1">
      <x:c r="A8" s="10" t="str">
        <x:v>Scenario disclaimer</x:v>
      </x:c>
      <x:c r="B8" s="10" t="str">
        <x:v>Educational example only. No actual risk has been accepted or controls verified.</x:v>
      </x:c>
    </x:row>
  </x:sheetData>
  <x:pageMargins left="0.7" right="0.7" top="0.75" bottom="0.75" header="0.3" footer="0.3"/>
</x:worksheet>
</file>